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tonline.sharepoint.com/sites/KNOWINGproject/Shared Documents/WP2 Develop modelling framework/Task2.3/submodels/energy-demand2/"/>
    </mc:Choice>
  </mc:AlternateContent>
  <xr:revisionPtr revIDLastSave="57" documentId="8_{9243ABED-BA2B-4F29-A07D-FB2DEFD115D8}" xr6:coauthVersionLast="47" xr6:coauthVersionMax="47" xr10:uidLastSave="{89341A25-31CA-42BA-B9AF-E808840D50A3}"/>
  <bookViews>
    <workbookView xWindow="-103" yWindow="-103" windowWidth="33120" windowHeight="18000" activeTab="1" xr2:uid="{B4381773-0824-4933-BC6F-1B33394EFF2A}"/>
  </bookViews>
  <sheets>
    <sheet name="readMe" sheetId="2" r:id="rId1"/>
    <sheet name="CE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33" i="1"/>
  <c r="C32" i="1"/>
  <c r="D32" i="1"/>
  <c r="E32" i="1"/>
  <c r="F32" i="1"/>
  <c r="G32" i="1"/>
  <c r="H32" i="1"/>
  <c r="D35" i="1"/>
  <c r="F35" i="1"/>
  <c r="H35" i="1"/>
  <c r="I33" i="1"/>
  <c r="E33" i="1" l="1"/>
  <c r="D33" i="1"/>
  <c r="F33" i="1" l="1"/>
  <c r="G33" i="1" l="1"/>
  <c r="H33" i="1" l="1"/>
</calcChain>
</file>

<file path=xl/sharedStrings.xml><?xml version="1.0" encoding="utf-8"?>
<sst xmlns="http://schemas.openxmlformats.org/spreadsheetml/2006/main" count="47" uniqueCount="47">
  <si>
    <t>Time</t>
  </si>
  <si>
    <t>EN_freight_tr_fuels</t>
  </si>
  <si>
    <t>EN_freight Tr electr</t>
  </si>
  <si>
    <t>EN_freight Tr_other</t>
  </si>
  <si>
    <t>EN_finEN_hh_space heating_Biomass</t>
  </si>
  <si>
    <t>EN_finEN_hh_space heating_Solar</t>
  </si>
  <si>
    <t>EN_finEN_hh_space heating_DH</t>
  </si>
  <si>
    <t>EN_finEN_hh_space heating_electr</t>
  </si>
  <si>
    <t>EN_finEN_hh_space heating_fossil fuel</t>
  </si>
  <si>
    <t>EN_finEN_hh_cooling_ac_electr</t>
  </si>
  <si>
    <t>EN_finEN_Agriculture</t>
  </si>
  <si>
    <t>EN_finEN_Construction</t>
  </si>
  <si>
    <t>EN_finEN_Manufacturing</t>
  </si>
  <si>
    <t>EN_finEN_Service</t>
  </si>
  <si>
    <t>EN_finEN_hh_other_Biomass</t>
  </si>
  <si>
    <t>EN_finEN_hh_other_Solar</t>
  </si>
  <si>
    <t>EN_finEN_hh_other_DH</t>
  </si>
  <si>
    <t>EN_finEN_hh_other_electr</t>
  </si>
  <si>
    <t>EN_finEN_hh_other_fossil fuel</t>
  </si>
  <si>
    <t>1perCent Refurbishment</t>
  </si>
  <si>
    <t>1.3 perCent Refurishment</t>
  </si>
  <si>
    <t>1.9 perCent Refurbisment</t>
  </si>
  <si>
    <t>Dist car fuel Tr</t>
  </si>
  <si>
    <t>Dist eletr Tr</t>
  </si>
  <si>
    <t>Dist publ Tr</t>
  </si>
  <si>
    <t>Dist other Tr</t>
  </si>
  <si>
    <t>EN_Cars fuels</t>
  </si>
  <si>
    <t>EN_Cars electr</t>
  </si>
  <si>
    <t>EN_Publ trans electr</t>
  </si>
  <si>
    <t>EN_Other fuels</t>
  </si>
  <si>
    <t>EN_finE_conv_cars fuel</t>
  </si>
  <si>
    <t>EN_finE_conv_Cars elctr</t>
  </si>
  <si>
    <t>EN_finE_conv_PuTr elctr</t>
  </si>
  <si>
    <t>EN_finE_conv_other fuels</t>
  </si>
  <si>
    <t>Population</t>
  </si>
  <si>
    <t>Dist_Tr Total</t>
  </si>
  <si>
    <t>3.0 perCentRefurbishment</t>
  </si>
  <si>
    <t>EN_finEN_Service electr</t>
  </si>
  <si>
    <t>EN_finEN_Service DH</t>
  </si>
  <si>
    <t>EN_finEN_Industry_elctr</t>
  </si>
  <si>
    <t>EN_finEN_Industry_DH</t>
  </si>
  <si>
    <t>EN_finEN_Service fossil</t>
  </si>
  <si>
    <t>EN_finEN_Industry fossil</t>
  </si>
  <si>
    <t>Comments</t>
  </si>
  <si>
    <t>The table sheets highlighted in green are linked via GET XLS Lookups with the SD Model (Vensim Model)</t>
  </si>
  <si>
    <t>Table sheets not highlighted are either basis for the connected sheets or provide additional information</t>
  </si>
  <si>
    <r>
      <t>The name of the should be keept as "</t>
    </r>
    <r>
      <rPr>
        <b/>
        <sz val="11"/>
        <color theme="1"/>
        <rFont val="Aptos Narrow"/>
        <family val="2"/>
        <scheme val="minor"/>
      </rPr>
      <t>EN_MEADCityInput.xlsx</t>
    </r>
    <r>
      <rPr>
        <sz val="11"/>
        <color theme="1"/>
        <rFont val="Aptos Narrow"/>
        <family val="2"/>
        <scheme val="minor"/>
      </rPr>
      <t>" to be connected to the SD submodel named "</t>
    </r>
    <r>
      <rPr>
        <b/>
        <sz val="11"/>
        <color theme="1"/>
        <rFont val="Aptos Narrow"/>
        <family val="2"/>
        <scheme val="minor"/>
      </rPr>
      <t>Knowing_Energy_submodel_simplified_fin_05102025.mdl</t>
    </r>
    <r>
      <rPr>
        <sz val="11"/>
        <color theme="1"/>
        <rFont val="Aptos Narrow"/>
        <family val="2"/>
        <scheme val="minor"/>
      </rPr>
      <t>" and stored in the same folder. However the name of the Vensim Model can be changed.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</si>
</sst>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8">
    <xf numFmtId="0" fontId="0" fillId="0" borderId="0" xfId="0"/>
    <xf numFmtId="2" fontId="0" fillId="0" borderId="3" xfId="0" applyNumberFormat="1" applyFill="1" applyBorder="1"/>
    <xf numFmtId="2" fontId="5" fillId="2" borderId="3" xfId="0" applyNumberFormat="1" applyFont="1" applyFill="1" applyBorder="1" applyAlignment="1">
      <alignment horizontal="right"/>
    </xf>
    <xf numFmtId="2" fontId="5" fillId="2" borderId="4" xfId="0" applyNumberFormat="1" applyFont="1" applyFill="1" applyBorder="1" applyAlignment="1">
      <alignment horizontal="right"/>
    </xf>
    <xf numFmtId="2" fontId="0" fillId="0" borderId="3" xfId="0" applyNumberFormat="1" applyBorder="1"/>
    <xf numFmtId="0" fontId="1" fillId="0" borderId="7" xfId="0" applyFont="1" applyFill="1" applyBorder="1"/>
    <xf numFmtId="0" fontId="3" fillId="0" borderId="7" xfId="0" applyFont="1" applyFill="1" applyBorder="1" applyAlignment="1">
      <alignment horizontal="left"/>
    </xf>
    <xf numFmtId="0" fontId="0" fillId="0" borderId="8" xfId="0" applyBorder="1"/>
    <xf numFmtId="0" fontId="1" fillId="0" borderId="10" xfId="0" applyFont="1" applyBorder="1"/>
    <xf numFmtId="0" fontId="1" fillId="0" borderId="8" xfId="0" applyFont="1" applyBorder="1"/>
    <xf numFmtId="9" fontId="1" fillId="0" borderId="7" xfId="0" applyNumberFormat="1" applyFon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9" xfId="0" applyNumberFormat="1" applyBorder="1"/>
    <xf numFmtId="2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4" xfId="0" applyFont="1" applyFill="1" applyBorder="1"/>
    <xf numFmtId="0" fontId="1" fillId="0" borderId="17" xfId="0" applyFont="1" applyFill="1" applyBorder="1"/>
    <xf numFmtId="2" fontId="5" fillId="2" borderId="18" xfId="0" applyNumberFormat="1" applyFont="1" applyFill="1" applyBorder="1" applyAlignment="1">
      <alignment horizontal="right"/>
    </xf>
    <xf numFmtId="2" fontId="5" fillId="2" borderId="19" xfId="0" applyNumberFormat="1" applyFont="1" applyFill="1" applyBorder="1" applyAlignment="1">
      <alignment horizontal="right"/>
    </xf>
    <xf numFmtId="0" fontId="1" fillId="0" borderId="20" xfId="0" applyFont="1" applyFill="1" applyBorder="1"/>
    <xf numFmtId="0" fontId="3" fillId="0" borderId="14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23" xfId="0" applyFont="1" applyFill="1" applyBorder="1" applyAlignment="1">
      <alignment horizontal="left"/>
    </xf>
    <xf numFmtId="9" fontId="1" fillId="0" borderId="26" xfId="0" applyNumberFormat="1" applyFont="1" applyBorder="1"/>
    <xf numFmtId="9" fontId="1" fillId="0" borderId="11" xfId="0" applyNumberFormat="1" applyFont="1" applyFill="1" applyBorder="1"/>
    <xf numFmtId="9" fontId="1" fillId="0" borderId="14" xfId="0" applyNumberFormat="1" applyFont="1" applyBorder="1"/>
    <xf numFmtId="2" fontId="0" fillId="0" borderId="15" xfId="0" applyNumberFormat="1" applyFill="1" applyBorder="1"/>
    <xf numFmtId="9" fontId="1" fillId="0" borderId="17" xfId="0" applyNumberFormat="1" applyFont="1" applyBorder="1"/>
    <xf numFmtId="2" fontId="0" fillId="0" borderId="18" xfId="0" applyNumberFormat="1" applyBorder="1"/>
    <xf numFmtId="2" fontId="0" fillId="0" borderId="19" xfId="0" applyNumberFormat="1" applyBorder="1"/>
    <xf numFmtId="0" fontId="0" fillId="0" borderId="14" xfId="0" applyBorder="1"/>
    <xf numFmtId="0" fontId="0" fillId="0" borderId="7" xfId="0" applyBorder="1"/>
    <xf numFmtId="0" fontId="0" fillId="0" borderId="17" xfId="0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8" xfId="0" applyNumberFormat="1" applyBorder="1" applyAlignment="1">
      <alignment vertical="center" wrapText="1"/>
    </xf>
    <xf numFmtId="2" fontId="0" fillId="0" borderId="12" xfId="0" applyNumberFormat="1" applyFont="1" applyBorder="1"/>
    <xf numFmtId="2" fontId="0" fillId="0" borderId="12" xfId="0" applyNumberFormat="1" applyFont="1" applyFill="1" applyBorder="1"/>
    <xf numFmtId="2" fontId="0" fillId="0" borderId="13" xfId="0" applyNumberFormat="1" applyFont="1" applyBorder="1"/>
    <xf numFmtId="2" fontId="0" fillId="0" borderId="16" xfId="0" applyNumberFormat="1" applyFill="1" applyBorder="1"/>
    <xf numFmtId="2" fontId="0" fillId="0" borderId="21" xfId="0" applyNumberFormat="1" applyFill="1" applyBorder="1"/>
    <xf numFmtId="2" fontId="0" fillId="0" borderId="22" xfId="0" applyNumberFormat="1" applyFill="1" applyBorder="1"/>
    <xf numFmtId="2" fontId="0" fillId="0" borderId="4" xfId="0" applyNumberFormat="1" applyFill="1" applyBorder="1"/>
    <xf numFmtId="2" fontId="0" fillId="0" borderId="18" xfId="0" applyNumberFormat="1" applyFill="1" applyBorder="1"/>
    <xf numFmtId="2" fontId="0" fillId="0" borderId="19" xfId="0" applyNumberFormat="1" applyFill="1" applyBorder="1"/>
    <xf numFmtId="2" fontId="0" fillId="0" borderId="24" xfId="0" applyNumberFormat="1" applyFill="1" applyBorder="1"/>
    <xf numFmtId="2" fontId="0" fillId="0" borderId="25" xfId="0" applyNumberFormat="1" applyFill="1" applyBorder="1"/>
    <xf numFmtId="2" fontId="0" fillId="0" borderId="0" xfId="0" applyNumberFormat="1" applyFill="1" applyBorder="1"/>
    <xf numFmtId="2" fontId="0" fillId="0" borderId="15" xfId="0" applyNumberFormat="1" applyFill="1" applyBorder="1" applyAlignment="1">
      <alignment vertical="center" wrapText="1"/>
    </xf>
    <xf numFmtId="2" fontId="0" fillId="0" borderId="16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3" borderId="0" xfId="0" applyFill="1" applyAlignment="1">
      <alignment wrapText="1"/>
    </xf>
    <xf numFmtId="0" fontId="1" fillId="3" borderId="5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3">
    <cellStyle name="Comma 2" xfId="1" xr:uid="{40AA04F8-2CC3-47C4-9FF2-61C69DEC2CC7}"/>
    <cellStyle name="Comma 3" xfId="2" xr:uid="{26DFC57A-5100-44E4-A3CC-8DD0BC374BD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49CE-8AC6-4A77-B87D-960BEB2BA826}">
  <sheetPr>
    <tabColor rgb="FFC00000"/>
  </sheetPr>
  <dimension ref="A1:A5"/>
  <sheetViews>
    <sheetView workbookViewId="0">
      <selection activeCell="A5" sqref="A5"/>
    </sheetView>
  </sheetViews>
  <sheetFormatPr defaultRowHeight="14.6" x14ac:dyDescent="0.4"/>
  <cols>
    <col min="1" max="1" width="72.765625" customWidth="1"/>
  </cols>
  <sheetData>
    <row r="1" spans="1:1" x14ac:dyDescent="0.4">
      <c r="A1" s="52" t="s">
        <v>43</v>
      </c>
    </row>
    <row r="2" spans="1:1" ht="47.15" customHeight="1" x14ac:dyDescent="0.4">
      <c r="A2" s="51" t="s">
        <v>46</v>
      </c>
    </row>
    <row r="3" spans="1:1" x14ac:dyDescent="0.4">
      <c r="A3" s="53" t="s">
        <v>44</v>
      </c>
    </row>
    <row r="4" spans="1:1" ht="31.3" customHeight="1" x14ac:dyDescent="0.4">
      <c r="A4" s="51" t="s">
        <v>45</v>
      </c>
    </row>
    <row r="5" spans="1:1" ht="49.3" customHeight="1" x14ac:dyDescent="0.4">
      <c r="A5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1A2C-08F5-4562-A63D-AD38BCC067CB}">
  <sheetPr>
    <tabColor theme="9" tint="0.59999389629810485"/>
  </sheetPr>
  <dimension ref="A1:J52"/>
  <sheetViews>
    <sheetView tabSelected="1" zoomScaleNormal="10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E36" sqref="E36"/>
    </sheetView>
  </sheetViews>
  <sheetFormatPr defaultColWidth="9.15234375" defaultRowHeight="14.6" x14ac:dyDescent="0.4"/>
  <cols>
    <col min="1" max="1" width="36.53515625" bestFit="1" customWidth="1"/>
    <col min="2" max="2" width="18.07421875" bestFit="1" customWidth="1"/>
    <col min="3" max="3" width="15" customWidth="1"/>
    <col min="4" max="4" width="14.3046875" customWidth="1"/>
    <col min="5" max="9" width="14.4609375" bestFit="1" customWidth="1"/>
  </cols>
  <sheetData>
    <row r="1" spans="1:9" ht="15" thickBot="1" x14ac:dyDescent="0.45">
      <c r="A1" s="54" t="s">
        <v>0</v>
      </c>
      <c r="B1" s="55">
        <v>2019</v>
      </c>
      <c r="C1" s="56">
        <v>2025</v>
      </c>
      <c r="D1" s="56">
        <v>2027</v>
      </c>
      <c r="E1" s="56">
        <v>2030</v>
      </c>
      <c r="F1" s="56">
        <v>2035</v>
      </c>
      <c r="G1" s="56">
        <v>2040</v>
      </c>
      <c r="H1" s="56">
        <v>2045</v>
      </c>
      <c r="I1" s="57">
        <v>2050</v>
      </c>
    </row>
    <row r="2" spans="1:9" x14ac:dyDescent="0.4">
      <c r="A2" s="16" t="s">
        <v>1</v>
      </c>
      <c r="B2" s="27">
        <v>182.96073199475541</v>
      </c>
      <c r="C2" s="27">
        <v>158.1809733861636</v>
      </c>
      <c r="D2" s="27">
        <v>156.83919207490305</v>
      </c>
      <c r="E2" s="27">
        <v>152.16570608488234</v>
      </c>
      <c r="F2" s="27">
        <v>130.72000025935392</v>
      </c>
      <c r="G2" s="27">
        <v>99.539001694824776</v>
      </c>
      <c r="H2" s="27">
        <v>69.727616235563232</v>
      </c>
      <c r="I2" s="40">
        <v>29.300973456395582</v>
      </c>
    </row>
    <row r="3" spans="1:9" x14ac:dyDescent="0.4">
      <c r="A3" s="5" t="s">
        <v>2</v>
      </c>
      <c r="B3" s="2">
        <v>0.79070294513911676</v>
      </c>
      <c r="C3" s="2">
        <v>3.881518861619881</v>
      </c>
      <c r="D3" s="2">
        <v>5.2878565474321135</v>
      </c>
      <c r="E3" s="2">
        <v>7.7852343062902492</v>
      </c>
      <c r="F3" s="2">
        <v>14.340064308807399</v>
      </c>
      <c r="G3" s="2">
        <v>22.139881797795283</v>
      </c>
      <c r="H3" s="2">
        <v>32.13372040945444</v>
      </c>
      <c r="I3" s="3">
        <v>43.361546832309671</v>
      </c>
    </row>
    <row r="4" spans="1:9" ht="15" thickBot="1" x14ac:dyDescent="0.45">
      <c r="A4" s="17" t="s">
        <v>3</v>
      </c>
      <c r="B4" s="18">
        <v>-38.915205651047742</v>
      </c>
      <c r="C4" s="18">
        <v>-26.915664681679857</v>
      </c>
      <c r="D4" s="18">
        <v>-22.349883032604033</v>
      </c>
      <c r="E4" s="18">
        <v>-15.225937139229526</v>
      </c>
      <c r="F4" s="18">
        <v>-8.5496925915912101</v>
      </c>
      <c r="G4" s="18">
        <v>-1.4920251301545093</v>
      </c>
      <c r="H4" s="18">
        <v>3.9375427934722893</v>
      </c>
      <c r="I4" s="19">
        <v>8.7462807865525427</v>
      </c>
    </row>
    <row r="5" spans="1:9" ht="15" thickBot="1" x14ac:dyDescent="0.45">
      <c r="A5" s="20"/>
      <c r="B5" s="41"/>
      <c r="C5" s="41"/>
      <c r="D5" s="41"/>
      <c r="E5" s="41"/>
      <c r="F5" s="41"/>
      <c r="G5" s="41"/>
      <c r="H5" s="41"/>
      <c r="I5" s="42"/>
    </row>
    <row r="6" spans="1:9" x14ac:dyDescent="0.4">
      <c r="A6" s="21" t="s">
        <v>4</v>
      </c>
      <c r="B6" s="27">
        <v>616.16359709150947</v>
      </c>
      <c r="C6" s="27">
        <v>572.29140668847481</v>
      </c>
      <c r="D6" s="27">
        <v>557.76579473730555</v>
      </c>
      <c r="E6" s="27">
        <v>535.48367323115042</v>
      </c>
      <c r="F6" s="27">
        <v>500.27718925273058</v>
      </c>
      <c r="G6" s="27">
        <v>462.82059396637476</v>
      </c>
      <c r="H6" s="27">
        <v>423.98284663769346</v>
      </c>
      <c r="I6" s="40">
        <v>382.79789366946318</v>
      </c>
    </row>
    <row r="7" spans="1:9" x14ac:dyDescent="0.4">
      <c r="A7" s="6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43">
        <v>0</v>
      </c>
    </row>
    <row r="8" spans="1:9" x14ac:dyDescent="0.4">
      <c r="A8" s="6" t="s">
        <v>6</v>
      </c>
      <c r="B8" s="1">
        <v>1061.3579663022481</v>
      </c>
      <c r="C8" s="1">
        <v>1011.8152690692087</v>
      </c>
      <c r="D8" s="1">
        <v>994.616917840621</v>
      </c>
      <c r="E8" s="1">
        <v>967.12352152182029</v>
      </c>
      <c r="F8" s="1">
        <v>922.65729764440118</v>
      </c>
      <c r="G8" s="1">
        <v>871.33274667744581</v>
      </c>
      <c r="H8" s="1">
        <v>814.54293547567136</v>
      </c>
      <c r="I8" s="43">
        <v>750.21728910090633</v>
      </c>
    </row>
    <row r="9" spans="1:9" x14ac:dyDescent="0.4">
      <c r="A9" s="6" t="s">
        <v>7</v>
      </c>
      <c r="B9" s="1">
        <v>40.784610011109869</v>
      </c>
      <c r="C9" s="1">
        <v>41.667166541659093</v>
      </c>
      <c r="D9" s="1">
        <v>41.743801194498616</v>
      </c>
      <c r="E9" s="1">
        <v>41.618381339585518</v>
      </c>
      <c r="F9" s="1">
        <v>41.045561637096043</v>
      </c>
      <c r="G9" s="1">
        <v>39.682769440817864</v>
      </c>
      <c r="H9" s="1">
        <v>37.63615666374546</v>
      </c>
      <c r="I9" s="43">
        <v>34.868121682110733</v>
      </c>
    </row>
    <row r="10" spans="1:9" x14ac:dyDescent="0.4">
      <c r="A10" s="6" t="s">
        <v>8</v>
      </c>
      <c r="B10" s="1">
        <v>115.61180512896244</v>
      </c>
      <c r="C10" s="1">
        <v>87.298179587816591</v>
      </c>
      <c r="D10" s="1">
        <v>78.481323208076986</v>
      </c>
      <c r="E10" s="1">
        <v>65.773131437576552</v>
      </c>
      <c r="F10" s="1">
        <v>46.381707060131767</v>
      </c>
      <c r="G10" s="1">
        <v>28.791770704869247</v>
      </c>
      <c r="H10" s="1">
        <v>13.287875451446663</v>
      </c>
      <c r="I10" s="43">
        <v>4.7535411436179995E-2</v>
      </c>
    </row>
    <row r="11" spans="1:9" ht="15" thickBot="1" x14ac:dyDescent="0.45">
      <c r="A11" s="22" t="s">
        <v>9</v>
      </c>
      <c r="B11" s="44">
        <v>0.25349543501143973</v>
      </c>
      <c r="C11" s="44">
        <v>0.27691524512040394</v>
      </c>
      <c r="D11" s="44">
        <v>0.28496032481009259</v>
      </c>
      <c r="E11" s="44">
        <v>0.2970056714882644</v>
      </c>
      <c r="F11" s="44">
        <v>0.31907702931965093</v>
      </c>
      <c r="G11" s="44">
        <v>0.3412201866194427</v>
      </c>
      <c r="H11" s="44">
        <v>0.36411803040303742</v>
      </c>
      <c r="I11" s="45">
        <v>0.3870978204484386</v>
      </c>
    </row>
    <row r="12" spans="1:9" ht="15" thickBot="1" x14ac:dyDescent="0.45">
      <c r="A12" s="7"/>
      <c r="B12" s="12"/>
      <c r="C12" s="12"/>
      <c r="D12" s="12"/>
      <c r="E12" s="12"/>
      <c r="F12" s="12"/>
      <c r="G12" s="12"/>
      <c r="H12" s="12"/>
      <c r="I12" s="13"/>
    </row>
    <row r="13" spans="1:9" x14ac:dyDescent="0.4">
      <c r="A13" s="21" t="s">
        <v>14</v>
      </c>
      <c r="B13" s="27">
        <v>139.84943604572686</v>
      </c>
      <c r="C13" s="27">
        <v>144.61051725204868</v>
      </c>
      <c r="D13" s="27">
        <v>146.35273029015434</v>
      </c>
      <c r="E13" s="27">
        <v>148.9766909854502</v>
      </c>
      <c r="F13" s="27">
        <v>154.37425172472689</v>
      </c>
      <c r="G13" s="27">
        <v>159.81642151147241</v>
      </c>
      <c r="H13" s="27">
        <v>165.62206691757467</v>
      </c>
      <c r="I13" s="40">
        <v>171.47566520400744</v>
      </c>
    </row>
    <row r="14" spans="1:9" x14ac:dyDescent="0.4">
      <c r="A14" s="6" t="s">
        <v>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43">
        <v>0</v>
      </c>
    </row>
    <row r="15" spans="1:9" x14ac:dyDescent="0.4">
      <c r="A15" s="6" t="s">
        <v>16</v>
      </c>
      <c r="B15" s="1">
        <v>117.64464285057124</v>
      </c>
      <c r="C15" s="1">
        <v>123.58068329420792</v>
      </c>
      <c r="D15" s="1">
        <v>130.00250395826561</v>
      </c>
      <c r="E15" s="1">
        <v>139.88189506539834</v>
      </c>
      <c r="F15" s="1">
        <v>158.03177811531839</v>
      </c>
      <c r="G15" s="1">
        <v>177.20350898370907</v>
      </c>
      <c r="H15" s="1">
        <v>197.79435162671155</v>
      </c>
      <c r="I15" s="43">
        <v>219.49896677336551</v>
      </c>
    </row>
    <row r="16" spans="1:9" x14ac:dyDescent="0.4">
      <c r="A16" s="6" t="s">
        <v>17</v>
      </c>
      <c r="B16" s="1">
        <v>595.21125725237755</v>
      </c>
      <c r="C16" s="1">
        <v>629.32457290690866</v>
      </c>
      <c r="D16" s="1">
        <v>641.57901865807878</v>
      </c>
      <c r="E16" s="1">
        <v>660.21599937048836</v>
      </c>
      <c r="F16" s="1">
        <v>696.45406693044413</v>
      </c>
      <c r="G16" s="1">
        <v>733.75118526192296</v>
      </c>
      <c r="H16" s="1">
        <v>773.60316800155601</v>
      </c>
      <c r="I16" s="43">
        <v>814.5933934624627</v>
      </c>
    </row>
    <row r="17" spans="1:9" ht="15" thickBot="1" x14ac:dyDescent="0.45">
      <c r="A17" s="22" t="s">
        <v>18</v>
      </c>
      <c r="B17" s="44">
        <v>206.38877078173175</v>
      </c>
      <c r="C17" s="44">
        <v>182.91166239054934</v>
      </c>
      <c r="D17" s="44">
        <v>169.71852294971242</v>
      </c>
      <c r="E17" s="44">
        <v>149.45867249289731</v>
      </c>
      <c r="F17" s="44">
        <v>115.18291750688505</v>
      </c>
      <c r="G17" s="44">
        <v>78.844643919410828</v>
      </c>
      <c r="H17" s="44">
        <v>40.52962643818617</v>
      </c>
      <c r="I17" s="45">
        <v>1.0973178246187522E-2</v>
      </c>
    </row>
    <row r="18" spans="1:9" ht="15" thickBot="1" x14ac:dyDescent="0.45">
      <c r="A18" s="7"/>
      <c r="B18" s="12"/>
      <c r="C18" s="12"/>
      <c r="D18" s="12"/>
      <c r="E18" s="12"/>
      <c r="F18" s="12"/>
      <c r="G18" s="12"/>
      <c r="H18" s="12"/>
      <c r="I18" s="13"/>
    </row>
    <row r="19" spans="1:9" x14ac:dyDescent="0.4">
      <c r="A19" s="21" t="s">
        <v>12</v>
      </c>
      <c r="B19" s="27">
        <v>1282.5206072496405</v>
      </c>
      <c r="C19" s="27">
        <v>1268.370573565375</v>
      </c>
      <c r="D19" s="27">
        <v>1341.2786616906565</v>
      </c>
      <c r="E19" s="27">
        <v>1411.0076738960759</v>
      </c>
      <c r="F19" s="27">
        <v>1479.2939704174373</v>
      </c>
      <c r="G19" s="27">
        <v>1529.347549981077</v>
      </c>
      <c r="H19" s="27">
        <v>1563.7669436018718</v>
      </c>
      <c r="I19" s="40">
        <v>1574.0969894583461</v>
      </c>
    </row>
    <row r="20" spans="1:9" x14ac:dyDescent="0.4">
      <c r="A20" s="6" t="s">
        <v>10</v>
      </c>
      <c r="B20" s="1">
        <v>56.287000695282515</v>
      </c>
      <c r="C20" s="1">
        <v>56.851894975498418</v>
      </c>
      <c r="D20" s="1">
        <v>60.525573625662553</v>
      </c>
      <c r="E20" s="1">
        <v>64.303765217672606</v>
      </c>
      <c r="F20" s="1">
        <v>68.488997845191577</v>
      </c>
      <c r="G20" s="1">
        <v>71.863778970579148</v>
      </c>
      <c r="H20" s="1">
        <v>74.490552544785061</v>
      </c>
      <c r="I20" s="43">
        <v>75.903177289604713</v>
      </c>
    </row>
    <row r="21" spans="1:9" ht="15" thickBot="1" x14ac:dyDescent="0.45">
      <c r="A21" s="22" t="s">
        <v>11</v>
      </c>
      <c r="B21" s="44">
        <v>212.89970254845929</v>
      </c>
      <c r="C21" s="44">
        <v>210.29974237989833</v>
      </c>
      <c r="D21" s="44">
        <v>222.20881106149614</v>
      </c>
      <c r="E21" s="44">
        <v>233.39587601227402</v>
      </c>
      <c r="F21" s="44">
        <v>243.78351481640806</v>
      </c>
      <c r="G21" s="44">
        <v>250.66474850130928</v>
      </c>
      <c r="H21" s="44">
        <v>254.35529725068395</v>
      </c>
      <c r="I21" s="45">
        <v>253.37341195270059</v>
      </c>
    </row>
    <row r="22" spans="1:9" ht="15" thickBot="1" x14ac:dyDescent="0.45">
      <c r="A22" s="7"/>
      <c r="B22" s="12"/>
      <c r="C22" s="12"/>
      <c r="D22" s="12"/>
      <c r="E22" s="12"/>
      <c r="F22" s="12"/>
      <c r="G22" s="12"/>
      <c r="H22" s="12"/>
      <c r="I22" s="13"/>
    </row>
    <row r="23" spans="1:9" ht="15" thickBot="1" x14ac:dyDescent="0.45">
      <c r="A23" s="23" t="s">
        <v>13</v>
      </c>
      <c r="B23" s="46">
        <v>2027.5104934658971</v>
      </c>
      <c r="C23" s="46">
        <v>1975.4762841087684</v>
      </c>
      <c r="D23" s="46">
        <v>2020.4907975689136</v>
      </c>
      <c r="E23" s="46">
        <v>2059.8540107909403</v>
      </c>
      <c r="F23" s="46">
        <v>2101.1136845822134</v>
      </c>
      <c r="G23" s="46">
        <v>2134.1552653842791</v>
      </c>
      <c r="H23" s="46">
        <v>2164.3756611831614</v>
      </c>
      <c r="I23" s="47">
        <v>2178.9808918263752</v>
      </c>
    </row>
    <row r="24" spans="1:9" ht="15" thickBot="1" x14ac:dyDescent="0.45">
      <c r="A24" s="7"/>
      <c r="B24" s="12"/>
      <c r="C24" s="12"/>
      <c r="D24" s="12"/>
      <c r="E24" s="12"/>
      <c r="F24" s="12"/>
      <c r="G24" s="12"/>
      <c r="H24" s="12"/>
      <c r="I24" s="13"/>
    </row>
    <row r="25" spans="1:9" x14ac:dyDescent="0.4">
      <c r="A25" s="24" t="s">
        <v>19</v>
      </c>
      <c r="B25" s="34">
        <v>0</v>
      </c>
      <c r="C25" s="34">
        <v>3.8650176678445246E-2</v>
      </c>
      <c r="D25" s="34">
        <v>5.3226277372262557E-2</v>
      </c>
      <c r="E25" s="34">
        <v>7.6978886756237597E-2</v>
      </c>
      <c r="F25" s="34">
        <v>0.12255462184873971</v>
      </c>
      <c r="G25" s="34">
        <v>0.17764733178654271</v>
      </c>
      <c r="H25" s="34">
        <v>0.24558549222797946</v>
      </c>
      <c r="I25" s="35">
        <v>0.33145454545454478</v>
      </c>
    </row>
    <row r="26" spans="1:9" x14ac:dyDescent="0.4">
      <c r="A26" s="8" t="s">
        <v>20</v>
      </c>
      <c r="B26" s="4">
        <v>0</v>
      </c>
      <c r="C26" s="4">
        <v>2.470982332155491E-2</v>
      </c>
      <c r="D26" s="4">
        <v>3.4028613138686166E-2</v>
      </c>
      <c r="E26" s="4">
        <v>4.9214126679462414E-2</v>
      </c>
      <c r="F26" s="4">
        <v>7.8351596638655471E-2</v>
      </c>
      <c r="G26" s="4">
        <v>0.11357345707656548</v>
      </c>
      <c r="H26" s="4">
        <v>0.15700766839378272</v>
      </c>
      <c r="I26" s="11">
        <v>0.21190545454545442</v>
      </c>
    </row>
    <row r="27" spans="1:9" x14ac:dyDescent="0.4">
      <c r="A27" s="8" t="s">
        <v>21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11">
        <v>0</v>
      </c>
    </row>
    <row r="28" spans="1:9" x14ac:dyDescent="0.4">
      <c r="A28" s="9" t="s">
        <v>36</v>
      </c>
      <c r="B28" s="4">
        <v>0</v>
      </c>
      <c r="C28" s="4">
        <v>-5.6553432942060639E-2</v>
      </c>
      <c r="D28" s="4">
        <v>-7.7119854044637989E-2</v>
      </c>
      <c r="E28" s="4">
        <v>-0.1088480209161275</v>
      </c>
      <c r="F28" s="4">
        <v>-0.17018876685588488</v>
      </c>
      <c r="G28" s="4">
        <v>-0.23580816982930503</v>
      </c>
      <c r="H28" s="4">
        <v>-0.30944316420161411</v>
      </c>
      <c r="I28" s="11">
        <v>-0.39294350675540818</v>
      </c>
    </row>
    <row r="29" spans="1:9" x14ac:dyDescent="0.4">
      <c r="A29" s="10" t="s">
        <v>22</v>
      </c>
      <c r="B29" s="4">
        <v>5885.73</v>
      </c>
      <c r="C29" s="4">
        <v>5797.66</v>
      </c>
      <c r="D29" s="4">
        <v>5758.41</v>
      </c>
      <c r="E29" s="4">
        <v>5691.9</v>
      </c>
      <c r="F29" s="4">
        <v>5538.91</v>
      </c>
      <c r="G29" s="4">
        <v>5376.73</v>
      </c>
      <c r="H29" s="4">
        <v>5205.2700000000004</v>
      </c>
      <c r="I29" s="11">
        <v>5037.0200000000004</v>
      </c>
    </row>
    <row r="30" spans="1:9" x14ac:dyDescent="0.4">
      <c r="A30" s="10" t="s">
        <v>23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11">
        <v>0</v>
      </c>
    </row>
    <row r="31" spans="1:9" x14ac:dyDescent="0.4">
      <c r="A31" s="10" t="s">
        <v>24</v>
      </c>
      <c r="B31" s="4">
        <v>5088.41</v>
      </c>
      <c r="C31" s="4">
        <v>4944.54</v>
      </c>
      <c r="D31" s="4">
        <v>4917.1000000000004</v>
      </c>
      <c r="E31" s="4">
        <v>4890.8500000000004</v>
      </c>
      <c r="F31" s="4">
        <v>4847.8</v>
      </c>
      <c r="G31" s="4">
        <v>4829.88</v>
      </c>
      <c r="H31" s="4">
        <v>4821.8</v>
      </c>
      <c r="I31" s="11">
        <v>4822.3</v>
      </c>
    </row>
    <row r="32" spans="1:9" x14ac:dyDescent="0.4">
      <c r="A32" s="10" t="s">
        <v>25</v>
      </c>
      <c r="B32" s="4">
        <v>204.12</v>
      </c>
      <c r="C32" s="1">
        <f t="shared" ref="C32" si="0">+$B32+(C$1-$B$1)*($I32-$B32)/($I$1-$B$1)</f>
        <v>246.63096774193548</v>
      </c>
      <c r="D32" s="1">
        <f t="shared" ref="D32:H32" si="1">+$B32+(D$1-$B$1)*($I32-$B32)/($I$1-$B$1)</f>
        <v>260.80129032258066</v>
      </c>
      <c r="E32" s="1">
        <f t="shared" si="1"/>
        <v>282.05677419354839</v>
      </c>
      <c r="F32" s="1">
        <f t="shared" si="1"/>
        <v>317.48258064516131</v>
      </c>
      <c r="G32" s="1">
        <f t="shared" si="1"/>
        <v>352.90838709677416</v>
      </c>
      <c r="H32" s="1">
        <f t="shared" si="1"/>
        <v>388.33419354838708</v>
      </c>
      <c r="I32" s="11">
        <v>423.76</v>
      </c>
    </row>
    <row r="33" spans="1:10" ht="15" thickBot="1" x14ac:dyDescent="0.45">
      <c r="A33" s="25" t="s">
        <v>35</v>
      </c>
      <c r="B33" s="37">
        <f>SUM(B29:B32)</f>
        <v>11178.26</v>
      </c>
      <c r="C33" s="38">
        <f>SUM(C29:C32)</f>
        <v>10988.830967741937</v>
      </c>
      <c r="D33" s="38">
        <f t="shared" ref="C33:I33" si="2">SUM(D29:D32)</f>
        <v>10936.311290322581</v>
      </c>
      <c r="E33" s="38">
        <f t="shared" si="2"/>
        <v>10864.806774193548</v>
      </c>
      <c r="F33" s="38">
        <f t="shared" si="2"/>
        <v>10704.19258064516</v>
      </c>
      <c r="G33" s="38">
        <f t="shared" si="2"/>
        <v>10559.518387096774</v>
      </c>
      <c r="H33" s="38">
        <f t="shared" si="2"/>
        <v>10415.404193548387</v>
      </c>
      <c r="I33" s="39">
        <f t="shared" si="2"/>
        <v>10283.08</v>
      </c>
    </row>
    <row r="34" spans="1:10" ht="15" thickBot="1" x14ac:dyDescent="0.45">
      <c r="A34" s="7"/>
      <c r="B34" s="12"/>
      <c r="C34" s="48"/>
      <c r="D34" s="48"/>
      <c r="E34" s="48"/>
      <c r="F34" s="48"/>
      <c r="G34" s="48"/>
      <c r="H34" s="48"/>
      <c r="I34" s="13"/>
    </row>
    <row r="35" spans="1:10" x14ac:dyDescent="0.4">
      <c r="A35" s="26" t="s">
        <v>34</v>
      </c>
      <c r="B35" s="27">
        <v>436772</v>
      </c>
      <c r="C35" s="27">
        <v>449873.81818181818</v>
      </c>
      <c r="D35" s="27">
        <f>+(E35+C35)/2</f>
        <v>455332.90909090906</v>
      </c>
      <c r="E35" s="49">
        <v>460792</v>
      </c>
      <c r="F35" s="27">
        <f>+(E35+G35)/2</f>
        <v>475389.5</v>
      </c>
      <c r="G35" s="49">
        <v>489987</v>
      </c>
      <c r="H35" s="27">
        <f>+(G35+I35)/2</f>
        <v>505557</v>
      </c>
      <c r="I35" s="50">
        <v>521127</v>
      </c>
      <c r="J35" s="15"/>
    </row>
    <row r="36" spans="1:10" x14ac:dyDescent="0.4">
      <c r="A36" s="10" t="s">
        <v>26</v>
      </c>
      <c r="B36" s="4">
        <v>1222.7122309856759</v>
      </c>
      <c r="C36" s="1">
        <v>977.50076705150798</v>
      </c>
      <c r="D36" s="1">
        <v>899.90858186938351</v>
      </c>
      <c r="E36" s="1">
        <v>778.08947104461811</v>
      </c>
      <c r="F36" s="1">
        <v>588.52911783656361</v>
      </c>
      <c r="G36" s="1">
        <v>413.99215078555443</v>
      </c>
      <c r="H36" s="1">
        <v>259.09216637518261</v>
      </c>
      <c r="I36" s="11">
        <v>116.20873399709109</v>
      </c>
    </row>
    <row r="37" spans="1:10" x14ac:dyDescent="0.4">
      <c r="A37" s="10" t="s">
        <v>27</v>
      </c>
      <c r="B37" s="4">
        <v>2.2653502834956942</v>
      </c>
      <c r="C37" s="4">
        <v>35.225166122022678</v>
      </c>
      <c r="D37" s="4">
        <v>46.744230971271172</v>
      </c>
      <c r="E37" s="4">
        <v>63.788172476811098</v>
      </c>
      <c r="F37" s="4">
        <v>94.846761346947929</v>
      </c>
      <c r="G37" s="4">
        <v>121.76724234267311</v>
      </c>
      <c r="H37" s="4">
        <v>147.88028205075923</v>
      </c>
      <c r="I37" s="11">
        <v>167.74109226781522</v>
      </c>
    </row>
    <row r="38" spans="1:10" x14ac:dyDescent="0.4">
      <c r="A38" s="10" t="s">
        <v>28</v>
      </c>
      <c r="B38" s="4">
        <v>36.844314791636492</v>
      </c>
      <c r="C38" s="4">
        <v>79.678966711538365</v>
      </c>
      <c r="D38" s="4">
        <v>94.042351540547884</v>
      </c>
      <c r="E38" s="4">
        <v>114.75633360247015</v>
      </c>
      <c r="F38" s="4">
        <v>139.67506530572965</v>
      </c>
      <c r="G38" s="4">
        <v>166.73062281989124</v>
      </c>
      <c r="H38" s="4">
        <v>175.97936439495487</v>
      </c>
      <c r="I38" s="11">
        <v>185.25012455828889</v>
      </c>
    </row>
    <row r="39" spans="1:10" ht="15" thickBot="1" x14ac:dyDescent="0.45">
      <c r="A39" s="28" t="s">
        <v>29</v>
      </c>
      <c r="B39" s="29">
        <v>56.624648826663218</v>
      </c>
      <c r="C39" s="29">
        <v>50.688682374596418</v>
      </c>
      <c r="D39" s="29">
        <v>48.790062204741687</v>
      </c>
      <c r="E39" s="29">
        <v>45.72655803613609</v>
      </c>
      <c r="F39" s="29">
        <v>41.378404059906373</v>
      </c>
      <c r="G39" s="29">
        <v>36.520414303631931</v>
      </c>
      <c r="H39" s="29">
        <v>30.764026516388704</v>
      </c>
      <c r="I39" s="30">
        <v>24.659987069622535</v>
      </c>
    </row>
    <row r="40" spans="1:10" ht="15" thickBot="1" x14ac:dyDescent="0.45">
      <c r="A40" s="7"/>
      <c r="B40" s="12"/>
      <c r="C40" s="12"/>
      <c r="D40" s="12"/>
      <c r="E40" s="12"/>
      <c r="F40" s="12"/>
      <c r="G40" s="12"/>
      <c r="H40" s="12"/>
      <c r="I40" s="13"/>
    </row>
    <row r="41" spans="1:10" x14ac:dyDescent="0.4">
      <c r="A41" s="31" t="s">
        <v>30</v>
      </c>
      <c r="B41" s="34">
        <v>5.6378354119315466E-7</v>
      </c>
      <c r="C41" s="34">
        <v>5.2841338905273687E-7</v>
      </c>
      <c r="D41" s="34">
        <v>5.1635972204521552E-7</v>
      </c>
      <c r="E41" s="34">
        <v>4.9652816134042615E-7</v>
      </c>
      <c r="F41" s="34">
        <v>4.6028921030740736E-7</v>
      </c>
      <c r="G41" s="34">
        <v>4.2706417466917155E-7</v>
      </c>
      <c r="H41" s="34">
        <v>4.044248013809236E-7</v>
      </c>
      <c r="I41" s="35">
        <v>4.0106611991514745E-7</v>
      </c>
    </row>
    <row r="42" spans="1:10" x14ac:dyDescent="0.4">
      <c r="A42" s="32" t="s">
        <v>31</v>
      </c>
      <c r="B42" s="4">
        <v>1.8345899027186022E-7</v>
      </c>
      <c r="C42" s="4">
        <v>1.9150092956372139E-7</v>
      </c>
      <c r="D42" s="4">
        <v>1.916203274186745E-7</v>
      </c>
      <c r="E42" s="4">
        <v>1.906649163163477E-7</v>
      </c>
      <c r="F42" s="4">
        <v>1.9124856645064324E-7</v>
      </c>
      <c r="G42" s="4">
        <v>1.8267670339584459E-7</v>
      </c>
      <c r="H42" s="4">
        <v>1.7436626294285915E-7</v>
      </c>
      <c r="I42" s="11">
        <v>1.6136596704611647E-7</v>
      </c>
    </row>
    <row r="43" spans="1:10" x14ac:dyDescent="0.4">
      <c r="A43" s="32" t="s">
        <v>32</v>
      </c>
      <c r="B43" s="4">
        <v>1.5967594576236002E-8</v>
      </c>
      <c r="C43" s="4">
        <v>3.2521698727108998E-8</v>
      </c>
      <c r="D43" s="4">
        <v>3.7549246382192687E-8</v>
      </c>
      <c r="E43" s="4">
        <v>4.4615689036751361E-8</v>
      </c>
      <c r="F43" s="4">
        <v>5.1385228990356156E-8</v>
      </c>
      <c r="G43" s="4">
        <v>5.8129735458188315E-8</v>
      </c>
      <c r="H43" s="4">
        <v>5.8115479112211218E-8</v>
      </c>
      <c r="I43" s="11">
        <v>5.8032522295601754E-8</v>
      </c>
    </row>
    <row r="44" spans="1:10" ht="15" thickBot="1" x14ac:dyDescent="0.45">
      <c r="A44" s="33" t="s">
        <v>33</v>
      </c>
      <c r="B44" s="29">
        <v>6.3513372292381638E-7</v>
      </c>
      <c r="C44" s="29">
        <v>4.5684899757310665E-7</v>
      </c>
      <c r="D44" s="29">
        <v>4.1085880256483122E-7</v>
      </c>
      <c r="E44" s="29">
        <v>3.5182528396177561E-7</v>
      </c>
      <c r="F44" s="29">
        <v>2.7416009960943232E-7</v>
      </c>
      <c r="G44" s="29">
        <v>2.111976872902817E-7</v>
      </c>
      <c r="H44" s="29">
        <v>1.5669942984856432E-7</v>
      </c>
      <c r="I44" s="30">
        <v>1.1166814703215502E-7</v>
      </c>
    </row>
    <row r="45" spans="1:10" ht="15" thickBot="1" x14ac:dyDescent="0.45">
      <c r="A45" s="7"/>
      <c r="B45" s="12"/>
      <c r="C45" s="12"/>
      <c r="D45" s="12"/>
      <c r="E45" s="12"/>
      <c r="F45" s="12"/>
      <c r="G45" s="12"/>
      <c r="H45" s="12"/>
      <c r="I45" s="13"/>
    </row>
    <row r="46" spans="1:10" x14ac:dyDescent="0.4">
      <c r="A46" s="31" t="s">
        <v>37</v>
      </c>
      <c r="B46" s="34">
        <v>1055.0049309620342</v>
      </c>
      <c r="C46" s="34">
        <v>1094.4790030206095</v>
      </c>
      <c r="D46" s="34">
        <v>1165.5268546503485</v>
      </c>
      <c r="E46" s="34">
        <v>1247.9457416772916</v>
      </c>
      <c r="F46" s="34">
        <v>1360.6781832342162</v>
      </c>
      <c r="G46" s="34">
        <v>1470.6206002739918</v>
      </c>
      <c r="H46" s="34">
        <v>1580.084060904775</v>
      </c>
      <c r="I46" s="35">
        <v>1679.4287540999312</v>
      </c>
    </row>
    <row r="47" spans="1:10" x14ac:dyDescent="0.4">
      <c r="A47" s="32" t="s">
        <v>38</v>
      </c>
      <c r="B47" s="4">
        <v>479.00808058018475</v>
      </c>
      <c r="C47" s="4">
        <v>480.73080556954648</v>
      </c>
      <c r="D47" s="4">
        <v>486.07027282215097</v>
      </c>
      <c r="E47" s="4">
        <v>491.91704299994529</v>
      </c>
      <c r="F47" s="4">
        <v>499.97575089279115</v>
      </c>
      <c r="G47" s="4">
        <v>499.6939196125241</v>
      </c>
      <c r="H47" s="4">
        <v>492.85914039164913</v>
      </c>
      <c r="I47" s="11">
        <v>476.33875303213745</v>
      </c>
    </row>
    <row r="48" spans="1:10" x14ac:dyDescent="0.4">
      <c r="A48" s="32" t="s">
        <v>39</v>
      </c>
      <c r="B48" s="4">
        <v>876.73523530678494</v>
      </c>
      <c r="C48" s="4">
        <v>916.72179961054553</v>
      </c>
      <c r="D48" s="4">
        <v>987.75964445858153</v>
      </c>
      <c r="E48" s="4">
        <v>1069.1071284693285</v>
      </c>
      <c r="F48" s="4">
        <v>1176.5059874695635</v>
      </c>
      <c r="G48" s="4">
        <v>1278.6228334538</v>
      </c>
      <c r="H48" s="4">
        <v>1376.7697203803773</v>
      </c>
      <c r="I48" s="11">
        <v>1462.3548264875262</v>
      </c>
    </row>
    <row r="49" spans="1:9" ht="15" thickBot="1" x14ac:dyDescent="0.45">
      <c r="A49" s="33" t="s">
        <v>40</v>
      </c>
      <c r="B49" s="36">
        <v>0</v>
      </c>
      <c r="C49" s="36">
        <v>0</v>
      </c>
      <c r="D49" s="29">
        <v>0</v>
      </c>
      <c r="E49" s="36">
        <v>0</v>
      </c>
      <c r="F49" s="36">
        <v>0</v>
      </c>
      <c r="G49" s="36">
        <v>0</v>
      </c>
      <c r="H49" s="29">
        <v>0</v>
      </c>
      <c r="I49" s="30">
        <v>0</v>
      </c>
    </row>
    <row r="50" spans="1:9" ht="15" thickBot="1" x14ac:dyDescent="0.45">
      <c r="A50" s="7"/>
      <c r="B50" s="14"/>
      <c r="C50" s="14"/>
      <c r="D50" s="12"/>
      <c r="E50" s="14"/>
      <c r="F50" s="14"/>
      <c r="G50" s="14"/>
      <c r="H50" s="12"/>
      <c r="I50" s="13"/>
    </row>
    <row r="51" spans="1:9" x14ac:dyDescent="0.4">
      <c r="A51" s="31" t="s">
        <v>41</v>
      </c>
      <c r="B51" s="34">
        <v>467.49363182443653</v>
      </c>
      <c r="C51" s="34">
        <v>374.10107618397984</v>
      </c>
      <c r="D51" s="34">
        <v>342.68283527864531</v>
      </c>
      <c r="E51" s="34">
        <v>293.84946305898472</v>
      </c>
      <c r="F51" s="34">
        <v>214.53218068370316</v>
      </c>
      <c r="G51" s="34">
        <v>138.5064481761199</v>
      </c>
      <c r="H51" s="34">
        <v>66.958444861825171</v>
      </c>
      <c r="I51" s="35">
        <v>0</v>
      </c>
    </row>
    <row r="52" spans="1:9" ht="15" thickBot="1" x14ac:dyDescent="0.45">
      <c r="A52" s="33" t="s">
        <v>42</v>
      </c>
      <c r="B52" s="29">
        <v>477.42647084494183</v>
      </c>
      <c r="C52" s="29">
        <v>407.07324746002519</v>
      </c>
      <c r="D52" s="29">
        <v>405.6046431527443</v>
      </c>
      <c r="E52" s="29">
        <v>386.80374911426929</v>
      </c>
      <c r="F52" s="29">
        <v>327.43238855301229</v>
      </c>
      <c r="G52" s="29">
        <v>252.01930993982296</v>
      </c>
      <c r="H52" s="29">
        <v>160.68470144554271</v>
      </c>
      <c r="I52" s="30">
        <v>55.382177507458778</v>
      </c>
    </row>
  </sheetData>
  <pageMargins left="0.7" right="0.7" top="0.75" bottom="0.75" header="0.3" footer="0.3"/>
  <pageSetup paperSize="9" orientation="portrait" r:id="rId1"/>
  <ignoredErrors>
    <ignoredError sqref="B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b42ec0-1121-474a-9407-804411568e11">
      <Terms xmlns="http://schemas.microsoft.com/office/infopath/2007/PartnerControls"/>
    </lcf76f155ced4ddcb4097134ff3c332f>
    <fotocredits xmlns="05b42ec0-1121-474a-9407-804411568e11" xsi:nil="true"/>
    <freetouse_x003f_ xmlns="05b42ec0-1121-474a-9407-804411568e11">please ask</freetouse_x003f_>
    <TaxCatchAll xmlns="fbe70779-4424-49c3-b45a-05e29466b4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C08222E85464F97792ADF9F22E4A4" ma:contentTypeVersion="21" ma:contentTypeDescription="Create a new document." ma:contentTypeScope="" ma:versionID="b22c932ab7e7a018def3d00b3a5a6f6b">
  <xsd:schema xmlns:xsd="http://www.w3.org/2001/XMLSchema" xmlns:xs="http://www.w3.org/2001/XMLSchema" xmlns:p="http://schemas.microsoft.com/office/2006/metadata/properties" xmlns:ns2="05b42ec0-1121-474a-9407-804411568e11" xmlns:ns3="fbe70779-4424-49c3-b45a-05e29466b4e0" targetNamespace="http://schemas.microsoft.com/office/2006/metadata/properties" ma:root="true" ma:fieldsID="fff3b696c74c5f8e1b899266c09a5c63" ns2:_="" ns3:_="">
    <xsd:import namespace="05b42ec0-1121-474a-9407-804411568e11"/>
    <xsd:import namespace="fbe70779-4424-49c3-b45a-05e29466b4e0"/>
    <xsd:element name="properties">
      <xsd:complexType>
        <xsd:sequence>
          <xsd:element name="documentManagement">
            <xsd:complexType>
              <xsd:all>
                <xsd:element ref="ns2:fotocredits" minOccurs="0"/>
                <xsd:element ref="ns2:freetouse_x003f_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42ec0-1121-474a-9407-804411568e11" elementFormDefault="qualified">
    <xsd:import namespace="http://schemas.microsoft.com/office/2006/documentManagement/types"/>
    <xsd:import namespace="http://schemas.microsoft.com/office/infopath/2007/PartnerControls"/>
    <xsd:element name="fotocredits" ma:index="3" nillable="true" ma:displayName="foto credits" ma:format="Dropdown" ma:internalName="fotocredits" ma:readOnly="false">
      <xsd:simpleType>
        <xsd:restriction base="dms:Text">
          <xsd:maxLength value="255"/>
        </xsd:restriction>
      </xsd:simpleType>
    </xsd:element>
    <xsd:element name="freetouse_x003f_" ma:index="4" nillable="true" ma:displayName="free to use (e.g., for dissemination)?" ma:default="please ask" ma:format="Dropdown" ma:internalName="freetouse_x003f_">
      <xsd:simpleType>
        <xsd:restriction base="dms:Choice">
          <xsd:enumeration value="yes"/>
          <xsd:enumeration value="please ask"/>
          <xsd:enumeration value="No (confidential)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d4a4384-8771-4db4-a8b8-df0fba6cd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70779-4424-49c3-b45a-05e29466b4e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bb76cc-f003-4d7a-84c4-b46cc882469c}" ma:internalName="TaxCatchAll" ma:readOnly="false" ma:showField="CatchAllData" ma:web="fbe70779-4424-49c3-b45a-05e29466b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52E309-D44E-4283-83BE-766EB79BBD21}">
  <ds:schemaRefs>
    <ds:schemaRef ds:uri="http://schemas.microsoft.com/office/2006/metadata/properties"/>
    <ds:schemaRef ds:uri="http://schemas.microsoft.com/office/infopath/2007/PartnerControls"/>
    <ds:schemaRef ds:uri="05b42ec0-1121-474a-9407-804411568e11"/>
    <ds:schemaRef ds:uri="fbe70779-4424-49c3-b45a-05e29466b4e0"/>
  </ds:schemaRefs>
</ds:datastoreItem>
</file>

<file path=customXml/itemProps2.xml><?xml version="1.0" encoding="utf-8"?>
<ds:datastoreItem xmlns:ds="http://schemas.openxmlformats.org/officeDocument/2006/customXml" ds:itemID="{CB8C0F2E-F3F7-46F0-8BE2-73093FB88E5F}"/>
</file>

<file path=customXml/itemProps3.xml><?xml version="1.0" encoding="utf-8"?>
<ds:datastoreItem xmlns:ds="http://schemas.openxmlformats.org/officeDocument/2006/customXml" ds:itemID="{9F69CE70-D570-4477-80E3-9EE60CABF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Gebetsroither Ernst</dc:creator>
  <cp:lastModifiedBy>Gebetsroither Ernst</cp:lastModifiedBy>
  <dcterms:created xsi:type="dcterms:W3CDTF">2025-09-20T19:14:07Z</dcterms:created>
  <dcterms:modified xsi:type="dcterms:W3CDTF">2026-01-30T09:40:00Z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0x010100CCCC08222E85464F97792ADF9F22E4A4</vt:lpwstr>
  </property>
  <property fmtid="{D5CDD505-2E9C-101B-9397-08002B2CF9AE}" pid="3" name="MediaServiceImageTags">
    <vt:lpwstr/>
  </property>
</Properties>
</file>