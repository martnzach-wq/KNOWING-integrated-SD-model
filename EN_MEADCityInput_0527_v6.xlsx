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ET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_(* #,##0.00_);_(* \(#,##0.00\);_(* \-??_);_(@_)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i val="1"/>
      <color rgb="FF666666"/>
      <sz val="11"/>
    </font>
    <font>
      <name val="Arial"/>
      <charset val="1"/>
      <family val="0"/>
      <color rgb="FF0563C1"/>
      <sz val="11"/>
      <u val="single"/>
    </font>
    <font>
      <name val="Arial"/>
      <charset val="1"/>
      <family val="0"/>
      <b val="1"/>
      <color rgb="FF7D4E00"/>
      <sz val="10"/>
    </font>
    <font>
      <name val="Arial"/>
      <charset val="1"/>
      <family val="0"/>
      <i val="1"/>
      <color rgb="FF1D4E2A"/>
      <sz val="8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FF0000"/>
      <sz val="11"/>
    </font>
    <font>
      <name val="Arial"/>
      <b val="1"/>
      <color rgb="007D4E00"/>
      <sz val="10"/>
    </font>
    <font>
      <name val="Arial"/>
      <i val="1"/>
      <color rgb="001D4E2A"/>
      <sz val="8"/>
    </font>
    <font>
      <name val="Arial"/>
      <b val="1"/>
      <color rgb="001D4E2A"/>
      <sz val="10"/>
    </font>
    <font>
      <name val="Arial"/>
      <i val="1"/>
      <color rgb="001A3C6E"/>
      <sz val="8"/>
    </font>
  </fonts>
  <fills count="9">
    <fill>
      <patternFill/>
    </fill>
    <fill>
      <patternFill patternType="gray125"/>
    </fill>
    <fill>
      <patternFill patternType="solid">
        <fgColor rgb="FFC6EFCE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0F7FF"/>
      </patternFill>
    </fill>
  </fills>
  <borders count="1">
    <border>
      <left/>
      <right/>
      <top/>
      <bottom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  <xf numFmtId="11" fontId="9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general" vertical="bottom"/>
    </xf>
    <xf numFmtId="1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  <xf numFmtId="11" fontId="13" fillId="5" borderId="0" applyAlignment="1" pivotButton="0" quotePrefix="0" xfId="0">
      <alignment horizontal="general" vertical="bottom"/>
    </xf>
    <xf numFmtId="0" fontId="14" fillId="6" borderId="0" applyAlignment="1" pivotButton="0" quotePrefix="0" xfId="0">
      <alignment wrapText="1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 wrapText="1"/>
    </xf>
    <xf numFmtId="11" fontId="15" fillId="7" borderId="0" applyAlignment="1" pivotButton="0" quotePrefix="0" xfId="0">
      <alignment horizontal="general" vertical="bottom"/>
    </xf>
    <xf numFmtId="0" fontId="16" fillId="8" borderId="0" applyAlignment="1" pivotButton="0" quotePrefix="0" xfId="0">
      <alignment wrapText="1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Comma 3" xfId="8"/>
    <cellStyle name="Comma 4" xfId="9"/>
    <cellStyle name="Comma 5" xfId="10"/>
    <cellStyle name="Normal 2" xfId="1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D4E00"/>
      <rgbColor rgb="FF993366"/>
      <rgbColor rgb="FF333399"/>
      <rgbColor rgb="FF1D4E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icaen.gencat.cat/ca/energia/estadistiques/resultats/anuals/balanc_energia/" TargetMode="External" Id="rId1"/><Relationship Type="http://schemas.openxmlformats.org/officeDocument/2006/relationships/hyperlink" Target="https://icaen.gencat.cat/ca/energia/estadistiques/resultats/anuals/balanc_energia/" TargetMode="External" Id="rId2"/><Relationship Type="http://schemas.openxmlformats.org/officeDocument/2006/relationships/hyperlink" Target="https://icaen.gencat.cat/ca/energia/estadistiques/resultats/anuals/balanc_energia/" TargetMode="External" Id="rId3"/><Relationship Type="http://schemas.openxmlformats.org/officeDocument/2006/relationships/hyperlink" Target="https://www.idae.es/publicaciones/spahousec-iii-estudio-del-consumo-energetico-equipamiento-y-habitos-de-consumo-de-la" TargetMode="External" Id="rId4"/><Relationship Type="http://schemas.openxmlformats.org/officeDocument/2006/relationships/hyperlink" Target="https://www.idae.es/publicaciones/spahousec-iii-estudio-del-consumo-energetico-equipamiento-y-habitos-de-consumo-de-la" TargetMode="External" Id="rId5"/><Relationship Type="http://schemas.openxmlformats.org/officeDocument/2006/relationships/hyperlink" Target="https://wp.granollers.cat/paes/" TargetMode="External" Id="rId6"/><Relationship Type="http://schemas.openxmlformats.org/officeDocument/2006/relationships/hyperlink" Target="https://www.idae.es/publicaciones/spahousec-iii-estudio-del-consumo-energetico-equipamiento-y-habitos-de-consumo-de-la" TargetMode="External" Id="rId7"/><Relationship Type="http://schemas.openxmlformats.org/officeDocument/2006/relationships/hyperlink" Target="https://icaen.gencat.cat/ca/energia/estadistiques/resultats/anuals/Consums-energetics-per-municipis/" TargetMode="External" Id="rId8"/><Relationship Type="http://schemas.openxmlformats.org/officeDocument/2006/relationships/hyperlink" Target="https://www.idae.es/publicaciones/spahousec-iii-estudio-del-consumo-energetico-equipamiento-y-habitos-de-consumo-de-la" TargetMode="External" Id="rId9"/><Relationship Type="http://schemas.openxmlformats.org/officeDocument/2006/relationships/hyperlink" Target="https://www.idae.es/publicaciones/spahousec-iii-estudio-del-consumo-energetico-equipamiento-y-habitos-de-consumo-de-la" TargetMode="External" Id="rId10"/><Relationship Type="http://schemas.openxmlformats.org/officeDocument/2006/relationships/hyperlink" Target="https://www.idae.es/estudios-informes-y-estadisticas" TargetMode="External" Id="rId11"/><Relationship Type="http://schemas.openxmlformats.org/officeDocument/2006/relationships/hyperlink" Target="https://wp.granollers.cat/paes/" TargetMode="External" Id="rId12"/><Relationship Type="http://schemas.openxmlformats.org/officeDocument/2006/relationships/hyperlink" Target="https://www.idae.es/publicaciones/spahousec-iii-estudio-del-consumo-energetico-equipamiento-y-habitos-de-consumo-de-la" TargetMode="External" Id="rId13"/><Relationship Type="http://schemas.openxmlformats.org/officeDocument/2006/relationships/hyperlink" Target="https://icaen.gencat.cat/ca/energia/estadistiques/resultats/anuals/Consums-energetics-per-municipis/" TargetMode="External" Id="rId14"/><Relationship Type="http://schemas.openxmlformats.org/officeDocument/2006/relationships/hyperlink" Target="https://wp.granollers.cat/paes/industria/" TargetMode="External" Id="rId15"/><Relationship Type="http://schemas.openxmlformats.org/officeDocument/2006/relationships/hyperlink" Target="https://www.idescat.cat/emex/?id=080961" TargetMode="External" Id="rId16"/><Relationship Type="http://schemas.openxmlformats.org/officeDocument/2006/relationships/hyperlink" Target="https://www.idescat.cat/emex/?id=080961" TargetMode="External" Id="rId17"/><Relationship Type="http://schemas.openxmlformats.org/officeDocument/2006/relationships/hyperlink" Target="https://wp.granollers.cat/paes/comerc-i-serveis/" TargetMode="External" Id="rId18"/><Relationship Type="http://schemas.openxmlformats.org/officeDocument/2006/relationships/hyperlink" Target="https://wp.granollers.cat/paes/edificis/" TargetMode="External" Id="rId19"/><Relationship Type="http://schemas.openxmlformats.org/officeDocument/2006/relationships/hyperlink" Target="https://wp.granollers.cat/paes/edificis/" TargetMode="External" Id="rId20"/><Relationship Type="http://schemas.openxmlformats.org/officeDocument/2006/relationships/hyperlink" Target="https://wp.granollers.cat/paes/edificis/" TargetMode="External" Id="rId21"/><Relationship Type="http://schemas.openxmlformats.org/officeDocument/2006/relationships/hyperlink" Target="https://wp.granollers.cat/paes/edificis/" TargetMode="External" Id="rId22"/><Relationship Type="http://schemas.openxmlformats.org/officeDocument/2006/relationships/hyperlink" Target="https://www.dgt.es/menusecundario/dgt-en-cifras/" TargetMode="External" Id="rId23"/><Relationship Type="http://schemas.openxmlformats.org/officeDocument/2006/relationships/hyperlink" Target="https://www.granollers.cat/mobilitat/vehicle-el&#232;ctric" TargetMode="External" Id="rId24"/><Relationship Type="http://schemas.openxmlformats.org/officeDocument/2006/relationships/hyperlink" Target="https://www.atm.cat/" TargetMode="External" Id="rId25"/><Relationship Type="http://schemas.openxmlformats.org/officeDocument/2006/relationships/hyperlink" Target="https://www.atm.cat/" TargetMode="External" Id="rId26"/><Relationship Type="http://schemas.openxmlformats.org/officeDocument/2006/relationships/hyperlink" Target="https://www.idescat.cat/pub/?geo=mun:080961&amp;id=ep" TargetMode="External" Id="rId27"/><Relationship Type="http://schemas.openxmlformats.org/officeDocument/2006/relationships/hyperlink" Target="https://icaen.gencat.cat/ca/energia/estadistiques/resultats/anuals/balanc_energia/" TargetMode="External" Id="rId28"/><Relationship Type="http://schemas.openxmlformats.org/officeDocument/2006/relationships/hyperlink" Target="https://www.granollers.cat/mobilitat/vehicle-el&#232;ctric" TargetMode="External" Id="rId29"/><Relationship Type="http://schemas.openxmlformats.org/officeDocument/2006/relationships/hyperlink" Target="https://www.atm.cat/" TargetMode="External" Id="rId30"/><Relationship Type="http://schemas.openxmlformats.org/officeDocument/2006/relationships/hyperlink" Target="https://icaen.gencat.cat/ca/energia/estadistiques/resultats/anuals/balanc_energia/" TargetMode="External" Id="rId31"/><Relationship Type="http://schemas.openxmlformats.org/officeDocument/2006/relationships/hyperlink" Target="https://www.eea.europa.eu/data-and-maps/data/tremove" TargetMode="External" Id="rId32"/><Relationship Type="http://schemas.openxmlformats.org/officeDocument/2006/relationships/hyperlink" Target="https://www.eea.europa.eu/data-and-maps/data/tremove" TargetMode="External" Id="rId33"/><Relationship Type="http://schemas.openxmlformats.org/officeDocument/2006/relationships/hyperlink" Target="https://www.eea.europa.eu/data-and-maps/data/tremove" TargetMode="External" Id="rId34"/><Relationship Type="http://schemas.openxmlformats.org/officeDocument/2006/relationships/hyperlink" Target="https://www.eea.europa.eu/data-and-maps/data/tremove" TargetMode="External" Id="rId35"/><Relationship Type="http://schemas.openxmlformats.org/officeDocument/2006/relationships/hyperlink" Target="https://analisi.transparenciacatalunya.cat/Energia/Consum-d-energia-el-ctrica-per-municipis-i-sectors/8idm-becu" TargetMode="External" Id="rId36"/><Relationship Type="http://schemas.openxmlformats.org/officeDocument/2006/relationships/hyperlink" Target="https://wp.granollers.cat/paes/" TargetMode="External" Id="rId37"/><Relationship Type="http://schemas.openxmlformats.org/officeDocument/2006/relationships/hyperlink" Target="https://analisi.transparenciacatalunya.cat/Energia/Consum-d-energia-el-ctrica-per-municipis-i-sectors/8idm-becu" TargetMode="External" Id="rId38"/><Relationship Type="http://schemas.openxmlformats.org/officeDocument/2006/relationships/hyperlink" Target="https://wp.granollers.cat/paes/" TargetMode="External" Id="rId39"/><Relationship Type="http://schemas.openxmlformats.org/officeDocument/2006/relationships/hyperlink" Target="https://icaen.gencat.cat/ca/energia/estadistiques/resultats/anuals/Consums-energetics-per-municipis/" TargetMode="External" Id="rId40"/><Relationship Type="http://schemas.openxmlformats.org/officeDocument/2006/relationships/hyperlink" Target="https://icaen.gencat.cat/ca/energia/estadistiques/resultats/anuals/Consums-energetics-per-municipis/" TargetMode="External" Id="rId41"/><Relationship Type="http://schemas.openxmlformats.org/officeDocument/2006/relationships/hyperlink" Target="https://www.idescat.cat/pub/?id=pibc&amp;n=13830&amp;geo=mun:080961" TargetMode="External" Id="rId4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9" min="1" max="1"/>
  </cols>
  <sheetData>
    <row r="1" ht="15" customHeight="1" s="20">
      <c r="A1" s="19" t="inlineStr">
        <is>
          <t>EN_MEADCityInput — Granollers (Vallès Oriental, Catalonia, Spain).</t>
        </is>
      </c>
    </row>
    <row r="2" ht="15" customHeight="1" s="20">
      <c r="A2" s="19" t="inlineStr">
        <is>
          <t>Same structure as the original EN_MEADCityInput.xlsx.</t>
        </is>
      </c>
    </row>
    <row r="3" ht="15" customHeight="1" s="20">
      <c r="A3" s="19" t="inlineStr">
        <is>
          <t>Units: GWh/yr for energy; veh-km/cap/yr for Dist rows; k EUR/cap for GDP; persons for population.</t>
        </is>
      </c>
    </row>
    <row r="4" ht="15" customHeight="1" s="20">
      <c r="A4" s="19" t="inlineStr">
        <is>
          <t>Baseline 2019 (ICAEN/Ajuntament). Trajectory PAESC -40% by 2030 + Net-Zero 2050.</t>
        </is>
      </c>
    </row>
    <row r="5" ht="15" customHeight="1" s="20">
      <c r="A5" s="19" t="inlineStr">
        <is>
          <t>Household values reconciled with IDAE SPAHOUSEC III (Mediterranean climate zone).</t>
        </is>
      </c>
    </row>
    <row r="6" ht="15" customHeight="1" s="20">
      <c r="A6" s="19" t="inlineStr">
        <is>
          <t>Dist rows: pre-computed values veh-km/cap/yr (NOT Excel formulas in this version, to avoid lock conflicts).</t>
        </is>
      </c>
    </row>
    <row r="7" ht="15" customHeight="1" s="20">
      <c r="A7" s="19" t="inlineStr">
        <is>
          <t>IMPORTANT: "Dist other Tr" = motorised others (mopeds, motorcycles, taxi). Walking/cycling NOT included.</t>
        </is>
      </c>
    </row>
    <row r="8" ht="15" customHeight="1" s="20">
      <c r="A8" s="19" t="inlineStr">
        <is>
          <t>See column J (Reference) and K (URL) for source per indicator.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67"/>
  <sheetViews>
    <sheetView showFormulas="0" showGridLines="1" showRowColHeaders="1" showZeros="1" rightToLeft="0" tabSelected="1" showOutlineSymbols="1" defaultGridColor="1" view="normal" topLeftCell="A37" colorId="64" zoomScale="100" zoomScaleNormal="100" zoomScalePageLayoutView="100" workbookViewId="0">
      <selection pane="topLeft" activeCell="I63" activeCellId="0" sqref="I63"/>
    </sheetView>
  </sheetViews>
  <sheetFormatPr baseColWidth="8" defaultColWidth="8.6796875" defaultRowHeight="15" zeroHeight="0" outlineLevelRow="0"/>
  <cols>
    <col width="44" customWidth="1" style="19" min="1" max="1"/>
    <col width="13" customWidth="1" style="19" min="2" max="9"/>
    <col width="100" customWidth="1" style="19" min="10" max="10"/>
    <col width="80" customWidth="1" style="19" min="11" max="11"/>
  </cols>
  <sheetData>
    <row r="1" ht="15" customHeight="1" s="20">
      <c r="A1" s="21" t="inlineStr">
        <is>
          <t>Time</t>
        </is>
      </c>
      <c r="B1" s="22" t="n">
        <v>2019</v>
      </c>
      <c r="C1" s="22" t="n">
        <v>2025</v>
      </c>
      <c r="D1" s="22" t="n">
        <v>2027</v>
      </c>
      <c r="E1" s="22" t="n">
        <v>2030</v>
      </c>
      <c r="F1" s="22" t="n">
        <v>2035</v>
      </c>
      <c r="G1" s="22" t="n">
        <v>2040</v>
      </c>
      <c r="H1" s="22" t="n">
        <v>2045</v>
      </c>
      <c r="I1" s="22" t="n">
        <v>2050</v>
      </c>
      <c r="J1" s="21" t="inlineStr">
        <is>
          <t>Reference</t>
        </is>
      </c>
      <c r="K1" s="21" t="inlineStr">
        <is>
          <t>URL</t>
        </is>
      </c>
    </row>
    <row r="2" ht="15" customHeight="1" s="20">
      <c r="A2" s="23" t="inlineStr">
        <is>
          <t>EN_freight_tr_fuels</t>
        </is>
      </c>
      <c r="B2" s="39" t="n">
        <v>64.90000000000001</v>
      </c>
      <c r="C2" s="39" t="n">
        <v>63.8</v>
      </c>
      <c r="D2" s="39" t="n">
        <v>62.7</v>
      </c>
      <c r="E2" s="39" t="n">
        <v>59.5</v>
      </c>
      <c r="F2" s="39" t="n">
        <v>50.3</v>
      </c>
      <c r="G2" s="39" t="n">
        <v>37</v>
      </c>
      <c r="H2" s="39" t="n">
        <v>23.1</v>
      </c>
      <c r="I2" s="39" t="n">
        <v>13.3</v>
      </c>
      <c r="J2" s="32" t="inlineStr">
        <is>
          <t>REVISED v6: Freight fuels. Segment-based trajectory: urban vans (35%), regional trucks (40%), long-haul (25%). Activity +7% offset by efficiency. Sources: Spain fleet data, EU HDV CO2 regulation (45%/65%/90% targets 2030/35/40).</t>
        </is>
      </c>
      <c r="K2" s="26" t="inlineStr">
        <is>
          <t>https://icaen.gencat.cat/ca/energia/estadistiques/resultats/anuals/balanc_energia/</t>
        </is>
      </c>
    </row>
    <row r="3" ht="15" customHeight="1" s="20">
      <c r="A3" s="23" t="inlineStr">
        <is>
          <t>EN_freight Tr electr</t>
        </is>
      </c>
      <c r="B3" s="39" t="n">
        <v>0.04</v>
      </c>
      <c r="C3" s="39" t="n">
        <v>0.71</v>
      </c>
      <c r="D3" s="39" t="n">
        <v>1.22</v>
      </c>
      <c r="E3" s="39" t="n">
        <v>2.33</v>
      </c>
      <c r="F3" s="39" t="n">
        <v>5.32</v>
      </c>
      <c r="G3" s="39" t="n">
        <v>9.300000000000001</v>
      </c>
      <c r="H3" s="39" t="n">
        <v>13.27</v>
      </c>
      <c r="I3" s="39" t="n">
        <v>16.08</v>
      </c>
      <c r="J3" s="32" t="inlineStr">
        <is>
          <t>REVISED v6: Freight electric. Evidence-based stock shares: ~12% (2030), ~47% (2040), ~81% (2050). EV 3.5× more efficient than diesel → electric GWh much smaller than replaced diesel GWh. Sources: IEA GEV Outlook 2026 (10% stock 2035 CPS), T&amp;E (30% fleet 2040), Spain: 600 e-trucks Jan 2025 (Iberdrola). Previous v5 value (+7400%) was grossly overstated.</t>
        </is>
      </c>
      <c r="K3" s="26" t="inlineStr">
        <is>
          <t>https://icaen.gencat.cat/ca/energia/estadistiques/resultats/anuals/balanc_energia/</t>
        </is>
      </c>
    </row>
    <row r="4" ht="15" customHeight="1" s="20">
      <c r="A4" s="23" t="inlineStr">
        <is>
          <t>EN_freight Tr_other</t>
        </is>
      </c>
      <c r="B4" s="24" t="n">
        <v>12</v>
      </c>
      <c r="C4" s="24" t="n">
        <v>10.56</v>
      </c>
      <c r="D4" s="24" t="n">
        <v>9.960000000000001</v>
      </c>
      <c r="E4" s="24" t="n">
        <v>8.76</v>
      </c>
      <c r="F4" s="24" t="n">
        <v>6.72</v>
      </c>
      <c r="G4" s="24" t="n">
        <v>4.56</v>
      </c>
      <c r="H4" s="24" t="n">
        <v>3</v>
      </c>
      <c r="I4" s="24" t="n">
        <v>1.32</v>
      </c>
      <c r="J4" s="25" t="inlineStr">
        <is>
          <t>Other freight (LPG, biofuels): ICAEN 2019.</t>
        </is>
      </c>
      <c r="K4" s="26" t="inlineStr">
        <is>
          <t>https://icaen.gencat.cat/ca/energia/estadistiques/resultats/anuals/balanc_energia/</t>
        </is>
      </c>
    </row>
    <row r="5" ht="15" customHeight="1" s="20">
      <c r="C5" s="27">
        <f>SUM(C2:C4)</f>
        <v/>
      </c>
    </row>
    <row r="6" ht="15" customHeight="1" s="20">
      <c r="A6" s="23" t="inlineStr">
        <is>
          <t>EN_finEN_hh_space heating_Biomass</t>
        </is>
      </c>
      <c r="B6" s="24" t="n">
        <v>8</v>
      </c>
      <c r="C6" s="24" t="n">
        <v>7.2</v>
      </c>
      <c r="D6" s="24" t="n">
        <v>7.04</v>
      </c>
      <c r="E6" s="24" t="n">
        <v>6.72</v>
      </c>
      <c r="F6" s="24" t="n">
        <v>6.24</v>
      </c>
      <c r="G6" s="24" t="n">
        <v>5.6</v>
      </c>
      <c r="H6" s="24" t="n">
        <v>4.96</v>
      </c>
      <c r="I6" s="24" t="n">
        <v>4.4</v>
      </c>
      <c r="J6" s="25" t="inlineStr">
        <is>
          <t>IDAE SPAHOUSEC III Mediterranean: 14% biomass × 54 GWh heating ≈ 7.6 GWh; PAESC biomass-network.</t>
        </is>
      </c>
      <c r="K6" s="26" t="inlineStr">
        <is>
          <t>https://www.idae.es/publicaciones/spahousec-iii-estudio-del-consumo-energetico-equipamiento-y-habitos-de-consumo-de-la</t>
        </is>
      </c>
    </row>
    <row r="7" ht="15" customHeight="1" s="20">
      <c r="A7" s="23" t="inlineStr">
        <is>
          <t>EN_finEN_hh_space heating_Solar</t>
        </is>
      </c>
      <c r="B7" s="24" t="n">
        <v>1.5</v>
      </c>
      <c r="C7" s="24" t="n">
        <v>2.25</v>
      </c>
      <c r="D7" s="24" t="n">
        <v>2.85</v>
      </c>
      <c r="E7" s="24" t="n">
        <v>3.75</v>
      </c>
      <c r="F7" s="24" t="n">
        <v>6.75</v>
      </c>
      <c r="G7" s="24" t="n">
        <v>11.25</v>
      </c>
      <c r="H7" s="24" t="n">
        <v>18</v>
      </c>
      <c r="I7" s="24" t="n">
        <v>25.5</v>
      </c>
      <c r="J7" s="25" t="inlineStr">
        <is>
          <t>IDAE SPAHOUSEC III: ~2% solar share heating × 54 GWh ≈ 1.1 GWh.</t>
        </is>
      </c>
      <c r="K7" s="26" t="inlineStr">
        <is>
          <t>https://www.idae.es/publicaciones/spahousec-iii-estudio-del-consumo-energetico-equipamiento-y-habitos-de-consumo-de-la</t>
        </is>
      </c>
    </row>
    <row r="8" ht="15" customHeight="1" s="20">
      <c r="A8" s="23" t="inlineStr">
        <is>
          <t>EN_finEN_hh_space heating_DH</t>
        </is>
      </c>
      <c r="B8" s="24" t="n">
        <v>0</v>
      </c>
      <c r="C8" s="24" t="n">
        <v>0</v>
      </c>
      <c r="D8" s="24" t="n">
        <v>0</v>
      </c>
      <c r="E8" s="24" t="n">
        <v>1</v>
      </c>
      <c r="F8" s="24" t="n">
        <v>1.5</v>
      </c>
      <c r="G8" s="24" t="n">
        <v>1.9</v>
      </c>
      <c r="H8" s="24" t="n">
        <v>2.3</v>
      </c>
      <c r="I8" s="24" t="n">
        <v>2.6</v>
      </c>
      <c r="J8" s="25" t="inlineStr">
        <is>
          <t>Granollers PAESC: biomass DH network from 2030.</t>
        </is>
      </c>
      <c r="K8" s="26" t="inlineStr">
        <is>
          <t>https://wp.granollers.cat/paes/</t>
        </is>
      </c>
    </row>
    <row r="9" ht="15" customHeight="1" s="20">
      <c r="A9" s="23" t="inlineStr">
        <is>
          <t>EN_finEN_hh_space heating_electr</t>
        </is>
      </c>
      <c r="B9" s="24" t="n">
        <v>25</v>
      </c>
      <c r="C9" s="24" t="n">
        <v>33.75</v>
      </c>
      <c r="D9" s="24" t="n">
        <v>37.5</v>
      </c>
      <c r="E9" s="24" t="n">
        <v>42.5</v>
      </c>
      <c r="F9" s="24" t="n">
        <v>48.75</v>
      </c>
      <c r="G9" s="24" t="n">
        <v>53.75</v>
      </c>
      <c r="H9" s="24" t="n">
        <v>57.5</v>
      </c>
      <c r="I9" s="24" t="n">
        <v>60</v>
      </c>
      <c r="J9" s="25" t="inlineStr">
        <is>
          <t>IDAE SPAHOUSEC III: 46% electric × 54 GWh ≈ 25 GWh.</t>
        </is>
      </c>
      <c r="K9" s="26" t="inlineStr">
        <is>
          <t>https://www.idae.es/publicaciones/spahousec-iii-estudio-del-consumo-energetico-equipamiento-y-habitos-de-consumo-de-la</t>
        </is>
      </c>
    </row>
    <row r="10" ht="15" customHeight="1" s="20">
      <c r="A10" s="23" t="inlineStr">
        <is>
          <t>EN_finEN_hh_space heating_fossil fuel</t>
        </is>
      </c>
      <c r="B10" s="24" t="n">
        <v>53</v>
      </c>
      <c r="C10" s="24" t="n">
        <v>46.11</v>
      </c>
      <c r="D10" s="24" t="n">
        <v>42.4</v>
      </c>
      <c r="E10" s="24" t="n">
        <v>32.86</v>
      </c>
      <c r="F10" s="24" t="n">
        <v>22.26</v>
      </c>
      <c r="G10" s="24" t="n">
        <v>13.25</v>
      </c>
      <c r="H10" s="24" t="n">
        <v>5.83</v>
      </c>
      <c r="I10" s="24" t="n">
        <v>0</v>
      </c>
      <c r="J10" s="25" t="inlineStr">
        <is>
          <t>IDAE SPAHOUSEC III: 32% NG + 6% oil/LPG ≈ 21 GWh; reconciled ICAEN ≈ 53 GWh.</t>
        </is>
      </c>
      <c r="K10" s="26" t="inlineStr">
        <is>
          <t>https://icaen.gencat.cat/ca/energia/estadistiques/resultats/anuals/Consums-energetics-per-municipis/</t>
        </is>
      </c>
    </row>
    <row r="11" ht="18.75" customHeight="1" s="20">
      <c r="A11" s="23" t="inlineStr">
        <is>
          <t>EN_finEN_hh_cooling_ac_electr</t>
        </is>
      </c>
      <c r="B11" s="28" t="n">
        <v>6.5</v>
      </c>
      <c r="C11" s="28" t="n">
        <v>7.024</v>
      </c>
      <c r="D11" s="28" t="n">
        <v>7.181</v>
      </c>
      <c r="E11" s="28" t="n">
        <v>7.496</v>
      </c>
      <c r="F11" s="28" t="n">
        <v>8.23</v>
      </c>
      <c r="G11" s="28" t="n">
        <v>9.121</v>
      </c>
      <c r="H11" s="28" t="n">
        <v>10.065</v>
      </c>
      <c r="I11" s="28" t="n">
        <v>12.79</v>
      </c>
      <c r="J11" s="29" t="inlineStr">
        <is>
          <t>ADAPTED v3: Base 6.5 GWh (SPAHOUSEC III) scaled by CDD growth (CDD base24°C: 124 K·day 2019 → 244 K·day 2050, +97%). Original 0527 value was flat (~6.2 GWh); v3 applies climate-change cooling trend from docx climate data (169 summer days, 100 heat days &gt;30°C).</t>
        </is>
      </c>
      <c r="K11" s="26" t="inlineStr">
        <is>
          <t>https://www.idae.es/publicaciones/spahousec-iii-estudio-del-consumo-energetico-equipamiento-y-habitos-de-consumo-de-la</t>
        </is>
      </c>
    </row>
    <row r="13" ht="15" customHeight="1" s="20">
      <c r="A13" s="23" t="inlineStr">
        <is>
          <t>EN_finEN_hh_other_Biomass</t>
        </is>
      </c>
      <c r="B13" s="24" t="n">
        <v>2</v>
      </c>
      <c r="C13" s="24" t="n">
        <v>2.06</v>
      </c>
      <c r="D13" s="24" t="n">
        <v>2.04</v>
      </c>
      <c r="E13" s="24" t="n">
        <v>1.98</v>
      </c>
      <c r="F13" s="24" t="n">
        <v>2</v>
      </c>
      <c r="G13" s="24" t="n">
        <v>2.04</v>
      </c>
      <c r="H13" s="24" t="n">
        <v>2.08</v>
      </c>
      <c r="I13" s="24" t="n">
        <v>1.92</v>
      </c>
      <c r="J13" s="25" t="inlineStr">
        <is>
          <t>IDAE SPAHOUSEC III: residual biomass DHW/cooking ~5%.</t>
        </is>
      </c>
      <c r="K13" s="26" t="inlineStr">
        <is>
          <t>https://www.idae.es/publicaciones/spahousec-iii-estudio-del-consumo-energetico-equipamiento-y-habitos-de-consumo-de-la</t>
        </is>
      </c>
    </row>
    <row r="14" ht="15" customHeight="1" s="20">
      <c r="A14" s="23" t="inlineStr">
        <is>
          <t>EN_finEN_hh_other_Solar</t>
        </is>
      </c>
      <c r="B14" s="24" t="n">
        <v>3</v>
      </c>
      <c r="C14" s="24" t="n">
        <v>6.3</v>
      </c>
      <c r="D14" s="24" t="n">
        <v>7.5</v>
      </c>
      <c r="E14" s="24" t="n">
        <v>9</v>
      </c>
      <c r="F14" s="24" t="n">
        <v>13.8</v>
      </c>
      <c r="G14" s="24" t="n">
        <v>18.6</v>
      </c>
      <c r="H14" s="24" t="n">
        <v>23.4</v>
      </c>
      <c r="I14" s="24" t="n">
        <v>25.5</v>
      </c>
      <c r="J14" s="25" t="inlineStr">
        <is>
          <t>IDAE/PER 2020: solar-thermal DHW Mediterranean ~10% × 48 GWh ≈ 3 GWh.</t>
        </is>
      </c>
      <c r="K14" s="26" t="inlineStr">
        <is>
          <t>https://www.idae.es/estudios-informes-y-estadisticas</t>
        </is>
      </c>
    </row>
    <row r="15" ht="15" customHeight="1" s="20">
      <c r="A15" s="23" t="inlineStr">
        <is>
          <t>EN_finEN_hh_other_DH</t>
        </is>
      </c>
      <c r="B15" s="24" t="n">
        <v>0</v>
      </c>
      <c r="C15" s="24" t="n">
        <v>0</v>
      </c>
      <c r="D15" s="24" t="n">
        <v>0</v>
      </c>
      <c r="E15" s="24" t="n">
        <v>0.1</v>
      </c>
      <c r="F15" s="24" t="n">
        <v>0.13</v>
      </c>
      <c r="G15" s="24" t="n">
        <v>0.16</v>
      </c>
      <c r="H15" s="24" t="n">
        <v>0.19</v>
      </c>
      <c r="I15" s="24" t="n">
        <v>0.2</v>
      </c>
      <c r="J15" s="25" t="inlineStr">
        <is>
          <t>Granollers PAESC: DHW share biomass DH from 2030.</t>
        </is>
      </c>
      <c r="K15" s="26" t="inlineStr">
        <is>
          <t>https://wp.granollers.cat/paes/</t>
        </is>
      </c>
    </row>
    <row r="16" ht="15" customHeight="1" s="20">
      <c r="A16" s="23" t="inlineStr">
        <is>
          <t>EN_finEN_hh_other_electr</t>
        </is>
      </c>
      <c r="B16" s="24" t="n">
        <v>95</v>
      </c>
      <c r="C16" s="24" t="n">
        <v>104.5</v>
      </c>
      <c r="D16" s="24" t="n">
        <v>105.45</v>
      </c>
      <c r="E16" s="24" t="n">
        <v>107.35</v>
      </c>
      <c r="F16" s="24" t="n">
        <v>108.3</v>
      </c>
      <c r="G16" s="24" t="n">
        <v>109.25</v>
      </c>
      <c r="H16" s="24" t="n">
        <v>109.725</v>
      </c>
      <c r="I16" s="24" t="n">
        <v>100.7</v>
      </c>
      <c r="J16" s="25" t="inlineStr">
        <is>
          <t>IDAE SPAHOUSEC III pure-residential: 26 134 HH × ~3 460 kWh ≈ 90 GWh; rounded 95. Common areas + small commercial reclassified to Service.</t>
        </is>
      </c>
      <c r="K16" s="26" t="inlineStr">
        <is>
          <t>https://www.idae.es/publicaciones/spahousec-iii-estudio-del-consumo-energetico-equipamiento-y-habitos-de-consumo-de-la</t>
        </is>
      </c>
    </row>
    <row r="17" ht="15" customHeight="1" s="20">
      <c r="A17" s="23" t="inlineStr">
        <is>
          <t>EN_finEN_hh_other_fossil</t>
        </is>
      </c>
      <c r="B17" s="24" t="n">
        <v>33</v>
      </c>
      <c r="C17" s="24" t="n">
        <v>27.39</v>
      </c>
      <c r="D17" s="24" t="n">
        <v>25.08</v>
      </c>
      <c r="E17" s="24" t="n">
        <v>19.8</v>
      </c>
      <c r="F17" s="24" t="n">
        <v>14.52</v>
      </c>
      <c r="G17" s="24" t="n">
        <v>9.57</v>
      </c>
      <c r="H17" s="24" t="n">
        <v>4.62</v>
      </c>
      <c r="I17" s="24" t="n">
        <v>0</v>
      </c>
      <c r="J17" s="25" t="inlineStr">
        <is>
          <t>IDAE SPAHOUSEC III: 50% gas DHW + 55% gas/LPG cooking ≈ 33 GWh; phase-out 2050.</t>
        </is>
      </c>
      <c r="K17" s="26" t="inlineStr">
        <is>
          <t>https://icaen.gencat.cat/ca/energia/estadistiques/resultats/anuals/Consums-energetics-per-municipis/</t>
        </is>
      </c>
    </row>
    <row r="18" ht="15" customHeight="1" s="20">
      <c r="C18" s="24">
        <f>SUM(C6:C17)</f>
        <v/>
      </c>
    </row>
    <row r="19" ht="15" customHeight="1" s="20">
      <c r="A19" s="23" t="inlineStr">
        <is>
          <t>EN_finEN_Manufacturing</t>
        </is>
      </c>
      <c r="B19" s="24" t="n">
        <v>480</v>
      </c>
      <c r="C19" s="24" t="n">
        <v>513.6</v>
      </c>
      <c r="D19" s="24" t="n">
        <v>518.4</v>
      </c>
      <c r="E19" s="24" t="n">
        <v>508.8</v>
      </c>
      <c r="F19" s="24" t="n">
        <v>523.2</v>
      </c>
      <c r="G19" s="24" t="n">
        <v>537.6</v>
      </c>
      <c r="H19" s="24" t="n">
        <v>552</v>
      </c>
      <c r="I19" s="24" t="n">
        <v>564</v>
      </c>
      <c r="J19" s="25" t="inlineStr">
        <is>
          <t>ICAEN industrial final-energy 2019 Granollers: electr 137 + NG 250 + others ≈ 480 GWh.</t>
        </is>
      </c>
      <c r="K19" s="26" t="inlineStr">
        <is>
          <t>https://wp.granollers.cat/paes/industria/</t>
        </is>
      </c>
    </row>
    <row r="20" ht="15" customHeight="1" s="20">
      <c r="A20" s="23" t="inlineStr">
        <is>
          <t>EN_finEN_Agriculture</t>
        </is>
      </c>
      <c r="B20" s="24" t="n">
        <v>6</v>
      </c>
      <c r="C20" s="24" t="n">
        <v>6.54</v>
      </c>
      <c r="D20" s="24" t="n">
        <v>6.66</v>
      </c>
      <c r="E20" s="24" t="n">
        <v>6.72</v>
      </c>
      <c r="F20" s="24" t="n">
        <v>7.08</v>
      </c>
      <c r="G20" s="24" t="n">
        <v>7.5</v>
      </c>
      <c r="H20" s="24" t="n">
        <v>7.86</v>
      </c>
      <c r="I20" s="24" t="n">
        <v>8.279999999999999</v>
      </c>
      <c r="J20" s="25" t="inlineStr">
        <is>
          <t>Idescat sector Vallès Oriental; &lt;3% VAB.</t>
        </is>
      </c>
      <c r="K20" s="26" t="inlineStr">
        <is>
          <t>https://www.idescat.cat/emex/?id=080961</t>
        </is>
      </c>
    </row>
    <row r="21" ht="15" customHeight="1" s="20">
      <c r="A21" s="23" t="inlineStr">
        <is>
          <t>EN_finEN_Construction</t>
        </is>
      </c>
      <c r="B21" s="24" t="n">
        <v>8</v>
      </c>
      <c r="C21" s="24" t="n">
        <v>8.68</v>
      </c>
      <c r="D21" s="24" t="n">
        <v>8.92</v>
      </c>
      <c r="E21" s="24" t="n">
        <v>9.52</v>
      </c>
      <c r="F21" s="24" t="n">
        <v>10</v>
      </c>
      <c r="G21" s="24" t="n">
        <v>10.56</v>
      </c>
      <c r="H21" s="24" t="n">
        <v>11.12</v>
      </c>
      <c r="I21" s="24" t="n">
        <v>11.76</v>
      </c>
      <c r="J21" s="25" t="inlineStr">
        <is>
          <t>Idescat VAB construction; 0.6 MWh/k EUR.</t>
        </is>
      </c>
      <c r="K21" s="26" t="inlineStr">
        <is>
          <t>https://www.idescat.cat/emex/?id=080961</t>
        </is>
      </c>
    </row>
    <row r="22" ht="15" customHeight="1" s="20">
      <c r="B22" s="24">
        <f>SUM(B19:B21)</f>
        <v/>
      </c>
      <c r="C22" s="24">
        <f>SUM(C19:C21)</f>
        <v/>
      </c>
      <c r="D22" s="24">
        <f>SUM(D19:D21)</f>
        <v/>
      </c>
      <c r="E22" s="24">
        <f>SUM(E19:E21)</f>
        <v/>
      </c>
      <c r="F22" s="24">
        <f>SUM(F19:F21)</f>
        <v/>
      </c>
      <c r="G22" s="24">
        <f>SUM(G19:G21)</f>
        <v/>
      </c>
      <c r="H22" s="24">
        <f>SUM(H19:H21)</f>
        <v/>
      </c>
      <c r="I22" s="24">
        <f>SUM(I19:I21)</f>
        <v/>
      </c>
    </row>
    <row r="23" ht="15" customHeight="1" s="20">
      <c r="A23" s="23" t="inlineStr">
        <is>
          <t>EN_finEN_Service</t>
        </is>
      </c>
      <c r="B23" s="24" t="n">
        <v>380</v>
      </c>
      <c r="C23" s="24" t="n">
        <v>373.925</v>
      </c>
      <c r="D23" s="24" t="n">
        <v>375.875</v>
      </c>
      <c r="E23" s="24" t="n">
        <v>362.425</v>
      </c>
      <c r="F23" s="24" t="n">
        <v>369.285</v>
      </c>
      <c r="G23" s="24" t="n">
        <v>377.365</v>
      </c>
      <c r="H23" s="24" t="n">
        <v>384.525</v>
      </c>
      <c r="I23" s="24" t="n">
        <v>392.905</v>
      </c>
      <c r="J23" s="25" t="inlineStr">
        <is>
          <t>Ajuntament services final energy ~380 GWh 2019.</t>
        </is>
      </c>
      <c r="K23" s="26" t="inlineStr">
        <is>
          <t>https://wp.granollers.cat/paes/comerc-i-serveis/</t>
        </is>
      </c>
    </row>
    <row r="24" ht="15" customHeight="1" s="20">
      <c r="A24" s="23" t="inlineStr">
        <is>
          <t>1.08 perCent Refurbishment</t>
        </is>
      </c>
      <c r="B24" s="24" t="n">
        <v>0</v>
      </c>
      <c r="C24" s="24" t="n">
        <v>0</v>
      </c>
      <c r="D24" s="24" t="n">
        <v>0.049</v>
      </c>
      <c r="E24" s="24" t="n">
        <v>0.067</v>
      </c>
      <c r="F24" s="24" t="n">
        <v>0.098</v>
      </c>
      <c r="G24" s="24" t="n">
        <v>0.129</v>
      </c>
      <c r="H24" s="24" t="n">
        <v>0.159</v>
      </c>
      <c r="I24" s="24" t="n">
        <v>0.19</v>
      </c>
      <c r="J24" s="25" t="inlineStr">
        <is>
          <t>Refurbishment scenario; same template logic.</t>
        </is>
      </c>
      <c r="K24" s="26" t="inlineStr">
        <is>
          <t>https://wp.granollers.cat/paes/edificis/</t>
        </is>
      </c>
    </row>
    <row r="25" ht="15" customHeight="1" s="20">
      <c r="A25" s="23" t="inlineStr">
        <is>
          <t>1.26 perCent Refurishment</t>
        </is>
      </c>
      <c r="B25" s="24" t="n">
        <v>0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5" t="inlineStr">
        <is>
          <t>Refurbishment scenario; same template logic.</t>
        </is>
      </c>
      <c r="K25" s="26" t="inlineStr">
        <is>
          <t>https://wp.granollers.cat/paes/edificis/</t>
        </is>
      </c>
    </row>
    <row r="26" ht="15" customHeight="1" s="20">
      <c r="A26" s="23" t="inlineStr">
        <is>
          <t>1.5 perCent Refurbisment</t>
        </is>
      </c>
      <c r="B26" s="24" t="n">
        <v>0</v>
      </c>
      <c r="C26" s="24" t="n">
        <v>0</v>
      </c>
      <c r="D26" s="24" t="n">
        <v>-0.065</v>
      </c>
      <c r="E26" s="24" t="n">
        <v>-0.089</v>
      </c>
      <c r="F26" s="24" t="n">
        <v>-0.129</v>
      </c>
      <c r="G26" s="24" t="n">
        <v>-0.169</v>
      </c>
      <c r="H26" s="24" t="n">
        <v>-0.21</v>
      </c>
      <c r="I26" s="24" t="n">
        <v>-0.25</v>
      </c>
      <c r="J26" s="25" t="inlineStr">
        <is>
          <t>Refurbishment scenario; same template logic.</t>
        </is>
      </c>
      <c r="K26" s="26" t="inlineStr">
        <is>
          <t>https://wp.granollers.cat/paes/edificis/</t>
        </is>
      </c>
    </row>
    <row r="27" ht="15" customHeight="1" s="20">
      <c r="A27" s="23" t="inlineStr">
        <is>
          <t>1.9 perCentRefurbishment</t>
        </is>
      </c>
      <c r="B27" s="24" t="n">
        <v>0</v>
      </c>
      <c r="C27" s="24" t="n">
        <v>0</v>
      </c>
      <c r="D27" s="24" t="n">
        <v>-0.173</v>
      </c>
      <c r="E27" s="24" t="n">
        <v>-0.238</v>
      </c>
      <c r="F27" s="24" t="n">
        <v>-0.346</v>
      </c>
      <c r="G27" s="24" t="n">
        <v>-0.454</v>
      </c>
      <c r="H27" s="24" t="n">
        <v>-0.5620000000000001</v>
      </c>
      <c r="I27" s="24" t="n">
        <v>-0.67</v>
      </c>
      <c r="J27" s="25" t="inlineStr">
        <is>
          <t>Refurbishment scenario; same template logic.</t>
        </is>
      </c>
      <c r="K27" s="26" t="inlineStr">
        <is>
          <t>https://wp.granollers.cat/paes/edificis/</t>
        </is>
      </c>
    </row>
    <row r="29" ht="15" customHeight="1" s="20">
      <c r="A29" s="23" t="inlineStr">
        <is>
          <t>Dist car fuel Tr</t>
        </is>
      </c>
      <c r="B29" s="30" t="n">
        <v>4741</v>
      </c>
      <c r="C29" s="30" t="n">
        <v>3576</v>
      </c>
      <c r="D29" s="30" t="n">
        <v>3247</v>
      </c>
      <c r="E29" s="30" t="n">
        <v>2788</v>
      </c>
      <c r="F29" s="30" t="n">
        <v>2087</v>
      </c>
      <c r="G29" s="30" t="n">
        <v>1484</v>
      </c>
      <c r="H29" s="30" t="n">
        <v>874</v>
      </c>
      <c r="I29" s="30" t="n">
        <v>298</v>
      </c>
      <c r="J29" s="25" t="inlineStr">
        <is>
          <t>PKW Verbrennungsmotor; DGT ~31 000 PKW × ~9 200 km/yr (2019). -92 % absolut bis 2050 (EU 2035 ICE + Spain Auto 2030 + PAESC). [veh-km/cap/yr]</t>
        </is>
      </c>
      <c r="K29" s="26" t="inlineStr">
        <is>
          <t>https://www.dgt.es/menusecundario/dgt-en-cifras/</t>
        </is>
      </c>
    </row>
    <row r="30" ht="15" customHeight="1" s="20">
      <c r="A30" s="23" t="inlineStr">
        <is>
          <t>Dist eletr Tr</t>
        </is>
      </c>
      <c r="B30" s="30" t="n">
        <v>67</v>
      </c>
      <c r="C30" s="30" t="n">
        <v>477</v>
      </c>
      <c r="D30" s="30" t="n">
        <v>600</v>
      </c>
      <c r="E30" s="30" t="n">
        <v>788</v>
      </c>
      <c r="F30" s="30" t="n">
        <v>1099</v>
      </c>
      <c r="G30" s="30" t="n">
        <v>1370</v>
      </c>
      <c r="H30" s="30" t="n">
        <v>1627</v>
      </c>
      <c r="I30" s="30" t="n">
        <v>1893</v>
      </c>
      <c r="J30" s="25" t="inlineStr">
        <is>
          <t>Elektro-PKW; +28× pro Kopf bis 2050 (AFIR + Spain Auto 2030). Absolut auf ~145 Mio veh-km — kompensiert ~Hälfte des wegfallenden Verbrenners. [veh-km/cap/yr]</t>
        </is>
      </c>
      <c r="K30" s="26" t="inlineStr">
        <is>
          <t>https://www.granollers.cat/mobilitat/vehicle-el%C3%A8ctric</t>
        </is>
      </c>
    </row>
    <row r="31" ht="15" customHeight="1" s="20">
      <c r="A31" s="23" t="inlineStr">
        <is>
          <t>Dist publ Tr</t>
        </is>
      </c>
      <c r="B31" s="30" t="n">
        <v>765</v>
      </c>
      <c r="C31" s="30" t="n">
        <v>718</v>
      </c>
      <c r="D31" s="30" t="n">
        <v>710</v>
      </c>
      <c r="E31" s="30" t="n">
        <v>698</v>
      </c>
      <c r="F31" s="30" t="n">
        <v>687</v>
      </c>
      <c r="G31" s="30" t="n">
        <v>681</v>
      </c>
      <c r="H31" s="30" t="n">
        <v>675</v>
      </c>
      <c r="I31" s="30" t="n">
        <v>667</v>
      </c>
      <c r="J31" s="25" t="inlineStr">
        <is>
          <t>ÖV (TMG + Renfe Rodalies + Sagalés); ATM 2019 ~46 Mio veh-km. +11 % absolut bis 2050, pro Kopf -13 % (Bevölkerung wächst schneller). PAESC zielt eigentlich höher. [veh-km/cap/yr]</t>
        </is>
      </c>
      <c r="K31" s="26" t="inlineStr">
        <is>
          <t>https://www.atm.cat/</t>
        </is>
      </c>
    </row>
    <row r="32" ht="15" customHeight="1" s="20">
      <c r="A32" s="23" t="inlineStr">
        <is>
          <t>Dist other Tr</t>
        </is>
      </c>
      <c r="B32" s="30" t="n">
        <v>699</v>
      </c>
      <c r="C32" s="30" t="n">
        <v>598</v>
      </c>
      <c r="D32" s="30" t="n">
        <v>570</v>
      </c>
      <c r="E32" s="30" t="n">
        <v>533</v>
      </c>
      <c r="F32" s="30" t="n">
        <v>479</v>
      </c>
      <c r="G32" s="30" t="n">
        <v>432</v>
      </c>
      <c r="H32" s="30" t="n">
        <v>386</v>
      </c>
      <c r="I32" s="30" t="n">
        <v>346</v>
      </c>
      <c r="J32" s="25" t="inlineStr">
        <is>
          <t>Sonstiger motorisierter Verkehr (Motorrad/Mofa/Taxi); NICHT aktive Mobilität. -37 % absolut bis 2050. Walking/Cycling NICHT als veh-km abgebildet. [veh-km/cap/yr]</t>
        </is>
      </c>
      <c r="K32" s="26" t="inlineStr">
        <is>
          <t>https://www.atm.cat/</t>
        </is>
      </c>
    </row>
    <row r="33" ht="15" customHeight="1" s="20">
      <c r="A33" s="23" t="inlineStr">
        <is>
          <t>Dist_Tr Total</t>
        </is>
      </c>
      <c r="B33" s="30" t="n">
        <v>6272</v>
      </c>
      <c r="C33" s="30" t="n">
        <v>5369</v>
      </c>
      <c r="D33" s="30" t="n">
        <v>5127</v>
      </c>
      <c r="E33" s="30" t="n">
        <v>4807</v>
      </c>
      <c r="F33" s="30" t="n">
        <v>4352</v>
      </c>
      <c r="G33" s="30" t="n">
        <v>3967</v>
      </c>
      <c r="H33" s="30" t="n">
        <v>3562</v>
      </c>
      <c r="I33" s="30" t="n">
        <v>3204</v>
      </c>
      <c r="J33" s="25" t="inlineStr">
        <is>
          <t>Summe motorisierter Personenverkehr [veh-km/cap/yr]; -49 % pro Kopf 2019→2050 v.a. durch PKW-Rückgang (Verbrenner -92 %, E-PKW +28×, netto -42 % PKW-Gesamtkm) bei +27 % Bevölkerung. Aktive Mobilität NICHT enthalten.</t>
        </is>
      </c>
    </row>
    <row r="35" ht="15" customHeight="1" s="20">
      <c r="A35" s="23" t="inlineStr">
        <is>
          <t>Population</t>
        </is>
      </c>
      <c r="B35" s="30" t="n">
        <v>60108</v>
      </c>
      <c r="C35" s="30" t="n">
        <v>65346</v>
      </c>
      <c r="D35" s="30" t="n">
        <v>66700</v>
      </c>
      <c r="E35" s="30" t="n">
        <v>68500</v>
      </c>
      <c r="F35" s="30" t="n">
        <v>71000</v>
      </c>
      <c r="G35" s="30" t="n">
        <v>73000</v>
      </c>
      <c r="H35" s="30" t="n">
        <v>75000</v>
      </c>
      <c r="I35" s="30" t="n">
        <v>76500</v>
      </c>
      <c r="J35" s="25" t="inlineStr">
        <is>
          <t>Idescat actuals 2019 &amp; 2025; 2027-2050 projections Vallès Oriental scaled to Granollers.</t>
        </is>
      </c>
      <c r="K35" s="26" t="inlineStr">
        <is>
          <t>https://www.idescat.cat/pub/?geo=mun:080961&amp;id=ep</t>
        </is>
      </c>
    </row>
    <row r="36" ht="15" customHeight="1" s="20">
      <c r="A36" s="23" t="inlineStr">
        <is>
          <t>EN_Cars fuels</t>
        </is>
      </c>
      <c r="B36" s="39" t="n">
        <v>172.3511</v>
      </c>
      <c r="C36" s="39" t="n">
        <v>133.2521</v>
      </c>
      <c r="D36" s="39" t="n">
        <v>121.6285</v>
      </c>
      <c r="E36" s="39" t="n">
        <v>103.9531</v>
      </c>
      <c r="F36" s="39" t="n">
        <v>75.5347</v>
      </c>
      <c r="G36" s="39" t="n">
        <v>51.4794</v>
      </c>
      <c r="H36" s="39" t="n">
        <v>29.4503</v>
      </c>
      <c r="I36" s="39" t="n">
        <v>10.0453</v>
      </c>
      <c r="J36" s="40" t="inlineStr">
        <is>
          <t>v5: dist(B29)×pop(B35)×B41(Granollers conv). Car fuel energy.</t>
        </is>
      </c>
      <c r="K36" s="26" t="inlineStr">
        <is>
          <t>https://icaen.gencat.cat/ca/energia/estadistiques/resultats/anuals/balanc_energia/</t>
        </is>
      </c>
    </row>
    <row r="37" ht="15" customHeight="1" s="20">
      <c r="A37" s="23" t="inlineStr">
        <is>
          <t>EN_Cars electr</t>
        </is>
      </c>
      <c r="B37" s="39" t="n">
        <v>0.6444</v>
      </c>
      <c r="C37" s="39" t="n">
        <v>4.9249</v>
      </c>
      <c r="D37" s="39" t="n">
        <v>6.2831</v>
      </c>
      <c r="E37" s="39" t="n">
        <v>8.4206</v>
      </c>
      <c r="F37" s="39" t="n">
        <v>12.0945</v>
      </c>
      <c r="G37" s="39" t="n">
        <v>14.8015</v>
      </c>
      <c r="H37" s="39" t="n">
        <v>17.2055</v>
      </c>
      <c r="I37" s="39" t="n">
        <v>18.9707</v>
      </c>
      <c r="J37" s="40" t="inlineStr">
        <is>
          <t>v5: dist(B30)×pop(B35)×B42(Granollers conv). Car electric energy.</t>
        </is>
      </c>
      <c r="K37" s="26" t="inlineStr">
        <is>
          <t>https://www.granollers.cat/mobilitat/vehicle-el%C3%A8ctric</t>
        </is>
      </c>
    </row>
    <row r="38" ht="15" customHeight="1" s="20">
      <c r="A38" s="23" t="inlineStr">
        <is>
          <t>EN_Publ trans electr</t>
        </is>
      </c>
      <c r="B38" s="39" t="n">
        <v>1.8853</v>
      </c>
      <c r="C38" s="39" t="n">
        <v>1.8767</v>
      </c>
      <c r="D38" s="39" t="n">
        <v>1.8469</v>
      </c>
      <c r="E38" s="39" t="n">
        <v>1.8169</v>
      </c>
      <c r="F38" s="39" t="n">
        <v>1.756</v>
      </c>
      <c r="G38" s="39" t="n">
        <v>1.74</v>
      </c>
      <c r="H38" s="39" t="n">
        <v>1.7212</v>
      </c>
      <c r="I38" s="39" t="n">
        <v>1.6838</v>
      </c>
      <c r="J38" s="40" t="inlineStr">
        <is>
          <t>v5: dist(B31)×pop(B35)×B43(Granollers conv). PT electric energy.</t>
        </is>
      </c>
      <c r="K38" s="26" t="inlineStr">
        <is>
          <t>https://www.atm.cat/</t>
        </is>
      </c>
    </row>
    <row r="39" ht="15" customHeight="1" s="20">
      <c r="A39" s="23" t="inlineStr">
        <is>
          <t>EN_Other fuels</t>
        </is>
      </c>
      <c r="B39" s="39" t="n">
        <v>21.4178</v>
      </c>
      <c r="C39" s="39" t="n">
        <v>18.907</v>
      </c>
      <c r="D39" s="39" t="n">
        <v>18.0666</v>
      </c>
      <c r="E39" s="39" t="n">
        <v>16.7189</v>
      </c>
      <c r="F39" s="39" t="n">
        <v>14.3981</v>
      </c>
      <c r="G39" s="39" t="n">
        <v>12.2612</v>
      </c>
      <c r="H39" s="39" t="n">
        <v>10.2552</v>
      </c>
      <c r="I39" s="39" t="n">
        <v>8.690300000000001</v>
      </c>
      <c r="J39" s="40" t="inlineStr">
        <is>
          <t>v5: dist(B32)×pop(B35)×B44(Granollers conv). Other motorised energy.</t>
        </is>
      </c>
      <c r="K39" s="26" t="inlineStr">
        <is>
          <t>https://icaen.gencat.cat/ca/energia/estadistiques/resultats/anuals/balanc_energia/</t>
        </is>
      </c>
    </row>
    <row r="41" ht="15" customHeight="1" s="20">
      <c r="A41" s="23" t="inlineStr">
        <is>
          <t>EN_finE_conv_cars fuel</t>
        </is>
      </c>
      <c r="B41" s="41" t="n">
        <v>6.048e-07</v>
      </c>
      <c r="C41" s="41" t="n">
        <v>5.7024e-07</v>
      </c>
      <c r="D41" s="41" t="n">
        <v>5.616000000000001e-07</v>
      </c>
      <c r="E41" s="41" t="n">
        <v>5.4432e-07</v>
      </c>
      <c r="F41" s="41" t="n">
        <v>5.0976e-07</v>
      </c>
      <c r="G41" s="41" t="n">
        <v>4.752e-07</v>
      </c>
      <c r="H41" s="41" t="n">
        <v>4.4928e-07</v>
      </c>
      <c r="I41" s="41" t="n">
        <v>4.4064e-07</v>
      </c>
      <c r="J41" s="42" t="inlineStr">
        <is>
          <t>v5 Granollers: Spain DGT fleet avg 7.0→5.1 l/100km (2019→2050). Spain fleet slightly less efficient than Tallinn (6.5 l/100km) due to older diesel/SUV stock; converges as PNIEC fleet renewal kicks in.</t>
        </is>
      </c>
      <c r="K41" s="26" t="inlineStr">
        <is>
          <t>https://www.eea.europa.eu/data-and-maps/data/tremove</t>
        </is>
      </c>
    </row>
    <row r="42" ht="15" customHeight="1" s="20">
      <c r="A42" s="23" t="inlineStr">
        <is>
          <t>EN_finE_conv_Cars elctr</t>
        </is>
      </c>
      <c r="B42" s="41" t="n">
        <v>1.6e-07</v>
      </c>
      <c r="C42" s="41" t="n">
        <v>1.58e-07</v>
      </c>
      <c r="D42" s="41" t="n">
        <v>1.57e-07</v>
      </c>
      <c r="E42" s="41" t="n">
        <v>1.56e-07</v>
      </c>
      <c r="F42" s="41" t="n">
        <v>1.55e-07</v>
      </c>
      <c r="G42" s="41" t="n">
        <v>1.48e-07</v>
      </c>
      <c r="H42" s="41" t="n">
        <v>1.41e-07</v>
      </c>
      <c r="I42" s="41" t="n">
        <v>1.31e-07</v>
      </c>
      <c r="J42" s="42" t="inlineStr">
        <is>
          <t>v5 Granollers: EV 16→13.1 kWh/100km (2019→2050). 13% below Tallinn (18.4 kWh/100km) — no winter battery heating penalty (Granollers min temp 9°C vs Tallinn −10°C). Source: ACEA EV consumption data; Spain climate advantage well-documented.</t>
        </is>
      </c>
      <c r="K42" s="26" t="inlineStr">
        <is>
          <t>https://www.eea.europa.eu/data-and-maps/data/tremove</t>
        </is>
      </c>
    </row>
    <row r="43" ht="15" customHeight="1" s="20">
      <c r="A43" s="23" t="inlineStr">
        <is>
          <t>EN_finE_conv_PuTr elctr</t>
        </is>
      </c>
      <c r="B43" s="41" t="n">
        <v>4.1e-08</v>
      </c>
      <c r="C43" s="41" t="n">
        <v>4e-08</v>
      </c>
      <c r="D43" s="41" t="n">
        <v>3.9e-08</v>
      </c>
      <c r="E43" s="41" t="n">
        <v>3.8e-08</v>
      </c>
      <c r="F43" s="41" t="n">
        <v>3.6e-08</v>
      </c>
      <c r="G43" s="41" t="n">
        <v>3.5e-08</v>
      </c>
      <c r="H43" s="41" t="n">
        <v>3.4e-08</v>
      </c>
      <c r="I43" s="41" t="n">
        <v>3.3e-08</v>
      </c>
      <c r="J43" s="42" t="inlineStr">
        <is>
          <t>v5 Granollers: PT 0.041→0.033 kWh/pkm (2019→2050). Dominated by RENFE R3 Rodalies commuter rail (99% of PT pkm). RENFE Civia/Rodalies: ~0.04 kWh/pkm at avg occupancy vs Tallinn trams 0.016 kWh/pkm. 2.6× higher than Tallinn justified by rail type and lower occupancy.</t>
        </is>
      </c>
      <c r="K43" s="26" t="inlineStr">
        <is>
          <t>https://www.eea.europa.eu/data-and-maps/data/tremove</t>
        </is>
      </c>
    </row>
    <row r="44" ht="15" customHeight="1" s="20">
      <c r="A44" s="23" t="inlineStr">
        <is>
          <t>EN_finE_conv_other fuels</t>
        </is>
      </c>
      <c r="B44" s="41" t="n">
        <v>5.0976e-07</v>
      </c>
      <c r="C44" s="41" t="n">
        <v>4.8384e-07</v>
      </c>
      <c r="D44" s="41" t="n">
        <v>4.752e-07</v>
      </c>
      <c r="E44" s="41" t="n">
        <v>4.5792e-07</v>
      </c>
      <c r="F44" s="41" t="n">
        <v>4.2336e-07</v>
      </c>
      <c r="G44" s="41" t="n">
        <v>3.888e-07</v>
      </c>
      <c r="H44" s="41" t="n">
        <v>3.5424e-07</v>
      </c>
      <c r="I44" s="41" t="n">
        <v>3.2832e-07</v>
      </c>
      <c r="J44" s="42" t="inlineStr">
        <is>
          <t>v5 Granollers: other motorised 5.9→3.8 l/100km (2019→2050). 20% below Tallinn (7.4 l/100km): Spain B32 dominated by motorcycles/mopeds (avg 3.5-4.5 l/100km) vs Tallinn LCV-heavy mix. Declining as e-mopeds enter and older 2-stroke mopeds retire.</t>
        </is>
      </c>
      <c r="K44" s="26" t="inlineStr">
        <is>
          <t>https://www.eea.europa.eu/data-and-maps/data/tremove</t>
        </is>
      </c>
    </row>
    <row r="46" ht="15" customHeight="1" s="20">
      <c r="A46" s="23" t="inlineStr">
        <is>
          <t>EN_finEN_Service electr</t>
        </is>
      </c>
      <c r="B46" s="24" t="n">
        <v>285</v>
      </c>
      <c r="C46" s="24" t="n">
        <v>298.4</v>
      </c>
      <c r="D46" s="24" t="n">
        <v>305.1</v>
      </c>
      <c r="E46" s="24" t="n">
        <v>310.125</v>
      </c>
      <c r="F46" s="24" t="n">
        <v>328.55</v>
      </c>
      <c r="G46" s="24" t="n">
        <v>348.65</v>
      </c>
      <c r="H46" s="24" t="n">
        <v>368.75</v>
      </c>
      <c r="I46" s="24" t="n">
        <v>390.525</v>
      </c>
      <c r="J46" s="25" t="inlineStr">
        <is>
          <t>Ajuntament services electricity ~285 GWh (ICAEN) + ~50 GWh reclassified from "domestic" tariff = 335 GWh.</t>
        </is>
      </c>
      <c r="K46" s="26" t="inlineStr">
        <is>
          <t>https://analisi.transparenciacatalunya.cat/Energia/Consum-d-energia-el-ctrica-per-municipis-i-sectors/8idm-becu</t>
        </is>
      </c>
    </row>
    <row r="47" ht="15" customHeight="1" s="20">
      <c r="A47" s="23" t="inlineStr">
        <is>
          <t>EN_finEN_Service DH</t>
        </is>
      </c>
      <c r="B47" s="24" t="n">
        <v>0</v>
      </c>
      <c r="C47" s="24" t="n">
        <v>0</v>
      </c>
      <c r="D47" s="24" t="n">
        <v>0</v>
      </c>
      <c r="E47" s="24" t="n">
        <v>1</v>
      </c>
      <c r="F47" s="24" t="n">
        <v>1.31</v>
      </c>
      <c r="G47" s="24" t="n">
        <v>1.64</v>
      </c>
      <c r="H47" s="24" t="n">
        <v>2</v>
      </c>
      <c r="I47" s="24" t="n">
        <v>2.38</v>
      </c>
      <c r="J47" s="25" t="inlineStr">
        <is>
          <t>Service-Anschlüsse PAESC biomass DH ab 2030.</t>
        </is>
      </c>
      <c r="K47" s="26" t="inlineStr">
        <is>
          <t>https://wp.granollers.cat/paes/</t>
        </is>
      </c>
    </row>
    <row r="48" ht="15" customHeight="1" s="20">
      <c r="A48" s="23" t="inlineStr">
        <is>
          <t>EN_finEN_Industry_elctr</t>
        </is>
      </c>
      <c r="B48" s="24" t="n">
        <v>230</v>
      </c>
      <c r="C48" s="24" t="n">
        <v>255.3</v>
      </c>
      <c r="D48" s="24" t="n">
        <v>262.2</v>
      </c>
      <c r="E48" s="24" t="n">
        <v>270.25</v>
      </c>
      <c r="F48" s="24" t="n">
        <v>289.8</v>
      </c>
      <c r="G48" s="24" t="n">
        <v>309.35</v>
      </c>
      <c r="H48" s="24" t="n">
        <v>330.05</v>
      </c>
      <c r="I48" s="24" t="n">
        <v>351.9</v>
      </c>
      <c r="J48" s="25" t="inlineStr">
        <is>
          <t>Industriestrom Granollers 2019: ICAEN ≈ 230 GWh.</t>
        </is>
      </c>
      <c r="K48" s="26" t="inlineStr">
        <is>
          <t>https://analisi.transparenciacatalunya.cat/Energia/Consum-d-energia-el-ctrica-per-municipis-i-sectors/8idm-becu</t>
        </is>
      </c>
    </row>
    <row r="49" ht="15" customHeight="1" s="20">
      <c r="A49" s="23" t="inlineStr">
        <is>
          <t>EN_finEN_Industry_DH</t>
        </is>
      </c>
      <c r="B49" s="24" t="n">
        <v>0</v>
      </c>
      <c r="C49" s="24" t="n">
        <v>0.005</v>
      </c>
      <c r="D49" s="24" t="n">
        <v>0.007</v>
      </c>
      <c r="E49" s="24" t="n">
        <v>0.01</v>
      </c>
      <c r="F49" s="24" t="n">
        <v>0.011</v>
      </c>
      <c r="G49" s="24" t="n">
        <v>0.012</v>
      </c>
      <c r="H49" s="24" t="n">
        <v>0.014</v>
      </c>
      <c r="I49" s="24" t="n">
        <v>0.016</v>
      </c>
      <c r="J49" s="25" t="inlineStr">
        <is>
          <t>Industrie-DH (Niedertemp biomass); PAESC.</t>
        </is>
      </c>
      <c r="K49" s="26" t="inlineStr">
        <is>
          <t>https://wp.granollers.cat/paes/</t>
        </is>
      </c>
    </row>
    <row r="51" ht="15" customHeight="1" s="20">
      <c r="A51" s="23" t="inlineStr">
        <is>
          <t>EN_finEN_Service fossil</t>
        </is>
      </c>
      <c r="B51" s="24" t="n">
        <v>95</v>
      </c>
      <c r="C51" s="24" t="n">
        <v>75.52500000000001</v>
      </c>
      <c r="D51" s="24" t="n">
        <v>70.77500000000001</v>
      </c>
      <c r="E51" s="24" t="n">
        <v>51.3</v>
      </c>
      <c r="F51" s="24" t="n">
        <v>39.425</v>
      </c>
      <c r="G51" s="24" t="n">
        <v>27.075</v>
      </c>
      <c r="H51" s="24" t="n">
        <v>13.775</v>
      </c>
      <c r="I51" s="24" t="n">
        <v>0</v>
      </c>
      <c r="J51" s="25" t="inlineStr">
        <is>
          <t>Nedgia Service-Gas 2019; phase-out 2050.</t>
        </is>
      </c>
      <c r="K51" s="26" t="inlineStr">
        <is>
          <t>https://icaen.gencat.cat/ca/energia/estadistiques/resultats/anuals/Consums-energetics-per-municipis/</t>
        </is>
      </c>
    </row>
    <row r="52" ht="15" customHeight="1" s="20">
      <c r="A52" s="23" t="inlineStr">
        <is>
          <t>EN_finEN_Industry fossil</t>
        </is>
      </c>
      <c r="B52" s="24" t="n">
        <v>250</v>
      </c>
      <c r="C52" s="24" t="n">
        <v>231.25</v>
      </c>
      <c r="D52" s="24" t="n">
        <v>222.5</v>
      </c>
      <c r="E52" s="24" t="n">
        <v>187.5</v>
      </c>
      <c r="F52" s="24" t="n">
        <v>145</v>
      </c>
      <c r="G52" s="24" t="n">
        <v>100</v>
      </c>
      <c r="H52" s="24" t="n">
        <v>60</v>
      </c>
      <c r="I52" s="24" t="n">
        <v>35</v>
      </c>
      <c r="J52" s="25" t="inlineStr">
        <is>
          <t>Industriegas+Öl; -86 % bis 2050 (EU ETS + Hydrogen Roadmap Spain).</t>
        </is>
      </c>
      <c r="K52" s="26" t="inlineStr">
        <is>
          <t>https://icaen.gencat.cat/ca/energia/estadistiques/resultats/anuals/Consums-energetics-per-municipis/</t>
        </is>
      </c>
    </row>
    <row r="55" ht="15" customHeight="1" s="20">
      <c r="A55" s="33" t="inlineStr">
        <is>
          <t>EN_finEN_Total_fossil</t>
        </is>
      </c>
      <c r="B55" s="34" t="n">
        <v>738</v>
      </c>
      <c r="C55" s="34" t="n">
        <v>635.01</v>
      </c>
      <c r="D55" s="34" t="n">
        <v>596.09</v>
      </c>
      <c r="E55" s="34" t="n">
        <v>506.645</v>
      </c>
      <c r="F55" s="34" t="n">
        <v>390.65</v>
      </c>
      <c r="G55" s="34" t="n">
        <v>269.105</v>
      </c>
      <c r="H55" s="34" t="n">
        <v>169.9</v>
      </c>
      <c r="I55" s="34" t="n">
        <v>88.745</v>
      </c>
      <c r="J55" s="25" t="inlineStr">
        <is>
          <t>Summe aller fossilen Endenergien.</t>
        </is>
      </c>
    </row>
    <row r="56" ht="15" customHeight="1" s="20">
      <c r="C56" s="24">
        <f>+C51+C36+C17+C10+C2+C4+C52+C39</f>
        <v/>
      </c>
    </row>
    <row r="57" ht="15" customHeight="1" s="20">
      <c r="A57" s="33" t="inlineStr">
        <is>
          <t>EN_finEN_Total_DH</t>
        </is>
      </c>
      <c r="B57" s="34" t="n">
        <v>0</v>
      </c>
      <c r="C57" s="34" t="n">
        <v>0.005</v>
      </c>
      <c r="D57" s="34" t="n">
        <v>0.007</v>
      </c>
      <c r="E57" s="34" t="n">
        <v>2.11</v>
      </c>
      <c r="F57" s="34" t="n">
        <v>2.951</v>
      </c>
      <c r="G57" s="34" t="n">
        <v>3.712</v>
      </c>
      <c r="H57" s="34" t="n">
        <v>4.504</v>
      </c>
      <c r="I57" s="34" t="n">
        <v>5.196</v>
      </c>
      <c r="J57" s="25" t="inlineStr">
        <is>
          <t>Summe aller DH-Endenergien.</t>
        </is>
      </c>
    </row>
    <row r="59" ht="15" customHeight="1" s="20">
      <c r="A59" s="33" t="inlineStr">
        <is>
          <t>EN_finEN_Total_elektr</t>
        </is>
      </c>
      <c r="B59" s="35">
        <f>+B48+B46+B38+B37+B11+B9+B16+B3</f>
        <v/>
      </c>
      <c r="C59" s="35">
        <f>+C48+C46+C38+C37+C11+C9+C16+C3</f>
        <v/>
      </c>
      <c r="D59" s="35">
        <f>+D48+D46+D38+D37+D11+D9+D16+D3</f>
        <v/>
      </c>
      <c r="E59" s="35">
        <f>+E48+E46+E38+E37+E11+E9+E16+E3</f>
        <v/>
      </c>
      <c r="F59" s="35">
        <f>+F48+F46+F38+F37+F11+F9+F16+F3</f>
        <v/>
      </c>
      <c r="G59" s="35">
        <f>+G48+G46+G38+G37+G11+G9+G16+G3</f>
        <v/>
      </c>
      <c r="H59" s="35">
        <f>+H48+H46+H38+H37+H11+H9+H16+H3</f>
        <v/>
      </c>
      <c r="I59" s="35">
        <f>+I48+I46+I38+I37+I11+I9+I16+I3</f>
        <v/>
      </c>
      <c r="J59" s="25" t="inlineStr">
        <is>
          <t>Summe aller elektrischen Endenergien.</t>
        </is>
      </c>
    </row>
    <row r="60" ht="15" customHeight="1" s="20">
      <c r="C60" s="24" t="n"/>
      <c r="D60" s="24" t="n"/>
      <c r="E60" s="24" t="n"/>
      <c r="F60" s="24" t="n"/>
      <c r="G60" s="24" t="n"/>
      <c r="H60" s="24" t="n"/>
      <c r="I60" s="24" t="n"/>
    </row>
    <row r="61" ht="15" customHeight="1" s="20">
      <c r="A61" s="23" t="inlineStr">
        <is>
          <t>GDP</t>
        </is>
      </c>
      <c r="B61" s="36" t="n">
        <v>38.5</v>
      </c>
      <c r="C61" s="36" t="n">
        <v>43.5</v>
      </c>
      <c r="D61" s="36" t="n">
        <v>45</v>
      </c>
      <c r="E61" s="36" t="n">
        <v>47.5</v>
      </c>
      <c r="F61" s="36" t="n">
        <v>52</v>
      </c>
      <c r="G61" s="36" t="n">
        <v>57</v>
      </c>
      <c r="H61" s="36" t="n">
        <v>62</v>
      </c>
      <c r="I61" s="36" t="n">
        <v>68</v>
      </c>
      <c r="J61" s="25" t="inlineStr">
        <is>
          <t>Idescat PIB territorial Granollers 2019/2022; +~2 % p.a. real.</t>
        </is>
      </c>
      <c r="K61" s="26" t="inlineStr">
        <is>
          <t>https://www.idescat.cat/pub/?id=pibc&amp;n=13830&amp;geo=mun:080961</t>
        </is>
      </c>
    </row>
    <row r="63" ht="15" customHeight="1" s="20">
      <c r="A63" s="37" t="inlineStr">
        <is>
          <t>EN_finEN_Industr other</t>
        </is>
      </c>
      <c r="B63" s="38">
        <f>+B22-B48-B52</f>
        <v/>
      </c>
      <c r="C63" s="38">
        <f>+C22-C48-C52</f>
        <v/>
      </c>
      <c r="D63" s="38">
        <f>+D22-D48-D52</f>
        <v/>
      </c>
      <c r="E63" s="38">
        <f>+E22-E48-E52</f>
        <v/>
      </c>
      <c r="F63" s="38">
        <f>+F22-F48-F52</f>
        <v/>
      </c>
      <c r="G63" s="38">
        <f>+G22-G48-G52</f>
        <v/>
      </c>
      <c r="H63" s="38">
        <f>+H22-H48-H52</f>
        <v/>
      </c>
      <c r="I63" s="38">
        <f>+I22-I48-I52</f>
        <v/>
      </c>
    </row>
    <row r="64" ht="15" customHeight="1" s="20">
      <c r="A64" s="19" t="inlineStr">
        <is>
          <t>EN_finEN_Service_other</t>
        </is>
      </c>
      <c r="B64" s="24">
        <f>+B23-B46-B47-B51</f>
        <v/>
      </c>
      <c r="C64" s="24">
        <f>+C23-C46-C47-C51</f>
        <v/>
      </c>
      <c r="D64" s="24">
        <f>+D23-D46-D47-D51</f>
        <v/>
      </c>
      <c r="E64" s="24">
        <f>+E23-E46-E47-E51</f>
        <v/>
      </c>
      <c r="F64" s="24">
        <f>+F23-F46-F47-F51</f>
        <v/>
      </c>
      <c r="G64" s="24">
        <f>+G23-G46-G47-G51</f>
        <v/>
      </c>
      <c r="H64" s="24">
        <f>+H23-H46-H47-H51</f>
        <v/>
      </c>
      <c r="I64" s="24">
        <f>+I23-I46-I47-I51</f>
        <v/>
      </c>
    </row>
    <row r="65" ht="15" customHeight="1" s="20">
      <c r="A65" s="19" t="inlineStr">
        <is>
          <t>EN_finEN_Biomass and Solar</t>
        </is>
      </c>
      <c r="B65" s="24">
        <f>+B6+B7+B13+B14</f>
        <v/>
      </c>
      <c r="C65" s="24">
        <f>+C6+C7+C13+C14</f>
        <v/>
      </c>
      <c r="D65" s="24">
        <f>+D6+D7+D13+D14</f>
        <v/>
      </c>
      <c r="E65" s="24">
        <f>+E6+E7+E13+E14</f>
        <v/>
      </c>
      <c r="F65" s="24">
        <f>+F6+F7+F13+F14</f>
        <v/>
      </c>
      <c r="G65" s="24">
        <f>+G6+G7+G13+G14</f>
        <v/>
      </c>
      <c r="H65" s="24">
        <f>+H6+H7+H13+H14</f>
        <v/>
      </c>
      <c r="I65" s="24">
        <f>+I6+I7+I13+I14</f>
        <v/>
      </c>
    </row>
    <row r="67" ht="15" customHeight="1" s="20">
      <c r="A67" s="19" t="inlineStr">
        <is>
          <t>EN_finEN_all</t>
        </is>
      </c>
      <c r="B67" s="24">
        <f>+B64+B63+B59+B57+B55+B65</f>
        <v/>
      </c>
      <c r="C67" s="24">
        <f>+C64+C63+C59+C57+C55+C65</f>
        <v/>
      </c>
      <c r="D67" s="24">
        <f>+D64+D63+D59+D57+D55+D65</f>
        <v/>
      </c>
      <c r="E67" s="24">
        <f>+E64+E63+E59+E57+E55+E65</f>
        <v/>
      </c>
      <c r="F67" s="24">
        <f>+F64+F63+F59+F57+F55+F65</f>
        <v/>
      </c>
      <c r="G67" s="24">
        <f>+G64+G63+G59+G57+G55+G65</f>
        <v/>
      </c>
      <c r="H67" s="24">
        <f>+H64+H63+H59+H57+H55+H65</f>
        <v/>
      </c>
      <c r="I67" s="24">
        <f>+I64+I63+I59+I57+I55+I65</f>
        <v/>
      </c>
    </row>
  </sheetData>
  <hyperlinks>
    <hyperlink xmlns:r="http://schemas.openxmlformats.org/officeDocument/2006/relationships" ref="K2" display="https://icaen.gencat.cat/ca/energia/estadistiques/resultats/anuals/balanc_energia/" r:id="rId1"/>
    <hyperlink xmlns:r="http://schemas.openxmlformats.org/officeDocument/2006/relationships" ref="K3" display="https://icaen.gencat.cat/ca/energia/estadistiques/resultats/anuals/balanc_energia/" r:id="rId2"/>
    <hyperlink xmlns:r="http://schemas.openxmlformats.org/officeDocument/2006/relationships" ref="K4" display="https://icaen.gencat.cat/ca/energia/estadistiques/resultats/anuals/balanc_energia/" r:id="rId3"/>
    <hyperlink xmlns:r="http://schemas.openxmlformats.org/officeDocument/2006/relationships" ref="K6" display="https://www.idae.es/publicaciones/spahousec-iii-estudio-del-consumo-energetico-equipamiento-y-habitos-de-consumo-de-la" r:id="rId4"/>
    <hyperlink xmlns:r="http://schemas.openxmlformats.org/officeDocument/2006/relationships" ref="K7" display="https://www.idae.es/publicaciones/spahousec-iii-estudio-del-consumo-energetico-equipamiento-y-habitos-de-consumo-de-la" r:id="rId5"/>
    <hyperlink xmlns:r="http://schemas.openxmlformats.org/officeDocument/2006/relationships" ref="K8" display="https://wp.granollers.cat/paes/" r:id="rId6"/>
    <hyperlink xmlns:r="http://schemas.openxmlformats.org/officeDocument/2006/relationships" ref="K9" display="https://www.idae.es/publicaciones/spahousec-iii-estudio-del-consumo-energetico-equipamiento-y-habitos-de-consumo-de-la" r:id="rId7"/>
    <hyperlink xmlns:r="http://schemas.openxmlformats.org/officeDocument/2006/relationships" ref="K10" display="https://icaen.gencat.cat/ca/energia/estadistiques/resultats/anuals/Consums-energetics-per-municipis/" r:id="rId8"/>
    <hyperlink xmlns:r="http://schemas.openxmlformats.org/officeDocument/2006/relationships" ref="K11" display="https://www.idae.es/publicaciones/spahousec-iii-estudio-del-consumo-energetico-equipamiento-y-habitos-de-consumo-de-la" r:id="rId9"/>
    <hyperlink xmlns:r="http://schemas.openxmlformats.org/officeDocument/2006/relationships" ref="K13" display="https://www.idae.es/publicaciones/spahousec-iii-estudio-del-consumo-energetico-equipamiento-y-habitos-de-consumo-de-la" r:id="rId10"/>
    <hyperlink xmlns:r="http://schemas.openxmlformats.org/officeDocument/2006/relationships" ref="K14" display="https://www.idae.es/estudios-informes-y-estadisticas" r:id="rId11"/>
    <hyperlink xmlns:r="http://schemas.openxmlformats.org/officeDocument/2006/relationships" ref="K15" display="https://wp.granollers.cat/paes/" r:id="rId12"/>
    <hyperlink xmlns:r="http://schemas.openxmlformats.org/officeDocument/2006/relationships" ref="K16" display="https://www.idae.es/publicaciones/spahousec-iii-estudio-del-consumo-energetico-equipamiento-y-habitos-de-consumo-de-la" r:id="rId13"/>
    <hyperlink xmlns:r="http://schemas.openxmlformats.org/officeDocument/2006/relationships" ref="K17" display="https://icaen.gencat.cat/ca/energia/estadistiques/resultats/anuals/Consums-energetics-per-municipis/" r:id="rId14"/>
    <hyperlink xmlns:r="http://schemas.openxmlformats.org/officeDocument/2006/relationships" ref="K19" display="https://wp.granollers.cat/paes/industria/" r:id="rId15"/>
    <hyperlink xmlns:r="http://schemas.openxmlformats.org/officeDocument/2006/relationships" ref="K20" display="https://www.idescat.cat/emex/?id=080961" r:id="rId16"/>
    <hyperlink xmlns:r="http://schemas.openxmlformats.org/officeDocument/2006/relationships" ref="K21" display="https://www.idescat.cat/emex/?id=080961" r:id="rId17"/>
    <hyperlink xmlns:r="http://schemas.openxmlformats.org/officeDocument/2006/relationships" ref="K23" display="https://wp.granollers.cat/paes/comerc-i-serveis/" r:id="rId18"/>
    <hyperlink xmlns:r="http://schemas.openxmlformats.org/officeDocument/2006/relationships" ref="K24" display="https://wp.granollers.cat/paes/edificis/" r:id="rId19"/>
    <hyperlink xmlns:r="http://schemas.openxmlformats.org/officeDocument/2006/relationships" ref="K25" display="https://wp.granollers.cat/paes/edificis/" r:id="rId20"/>
    <hyperlink xmlns:r="http://schemas.openxmlformats.org/officeDocument/2006/relationships" ref="K26" display="https://wp.granollers.cat/paes/edificis/" r:id="rId21"/>
    <hyperlink xmlns:r="http://schemas.openxmlformats.org/officeDocument/2006/relationships" ref="K27" display="https://wp.granollers.cat/paes/edificis/" r:id="rId22"/>
    <hyperlink xmlns:r="http://schemas.openxmlformats.org/officeDocument/2006/relationships" ref="K29" display="https://www.dgt.es/menusecundario/dgt-en-cifras/" r:id="rId23"/>
    <hyperlink xmlns:r="http://schemas.openxmlformats.org/officeDocument/2006/relationships" ref="K30" display="https://www.granollers.cat/mobilitat/vehicle-el%C3%A8ctric" r:id="rId24"/>
    <hyperlink xmlns:r="http://schemas.openxmlformats.org/officeDocument/2006/relationships" ref="K31" display="https://www.atm.cat/" r:id="rId25"/>
    <hyperlink xmlns:r="http://schemas.openxmlformats.org/officeDocument/2006/relationships" ref="K32" display="https://www.atm.cat/" r:id="rId26"/>
    <hyperlink xmlns:r="http://schemas.openxmlformats.org/officeDocument/2006/relationships" ref="K35" display="https://www.idescat.cat/pub/?geo=mun:080961&amp;id=ep" r:id="rId27"/>
    <hyperlink xmlns:r="http://schemas.openxmlformats.org/officeDocument/2006/relationships" ref="K36" display="https://icaen.gencat.cat/ca/energia/estadistiques/resultats/anuals/balanc_energia/" r:id="rId28"/>
    <hyperlink xmlns:r="http://schemas.openxmlformats.org/officeDocument/2006/relationships" ref="K37" display="https://www.granollers.cat/mobilitat/vehicle-el%C3%A8ctric" r:id="rId29"/>
    <hyperlink xmlns:r="http://schemas.openxmlformats.org/officeDocument/2006/relationships" ref="K38" display="https://www.atm.cat/" r:id="rId30"/>
    <hyperlink xmlns:r="http://schemas.openxmlformats.org/officeDocument/2006/relationships" ref="K39" display="https://icaen.gencat.cat/ca/energia/estadistiques/resultats/anuals/balanc_energia/" r:id="rId31"/>
    <hyperlink xmlns:r="http://schemas.openxmlformats.org/officeDocument/2006/relationships" ref="K41" display="https://www.eea.europa.eu/data-and-maps/data/tremove" r:id="rId32"/>
    <hyperlink xmlns:r="http://schemas.openxmlformats.org/officeDocument/2006/relationships" ref="K42" display="https://www.eea.europa.eu/data-and-maps/data/tremove" r:id="rId33"/>
    <hyperlink xmlns:r="http://schemas.openxmlformats.org/officeDocument/2006/relationships" ref="K43" display="https://www.eea.europa.eu/data-and-maps/data/tremove" r:id="rId34"/>
    <hyperlink xmlns:r="http://schemas.openxmlformats.org/officeDocument/2006/relationships" ref="K44" display="https://www.eea.europa.eu/data-and-maps/data/tremove" r:id="rId35"/>
    <hyperlink xmlns:r="http://schemas.openxmlformats.org/officeDocument/2006/relationships" ref="K46" display="https://analisi.transparenciacatalunya.cat/Energia/Consum-d-energia-el-ctrica-per-municipis-i-sectors/8idm-becu" r:id="rId36"/>
    <hyperlink xmlns:r="http://schemas.openxmlformats.org/officeDocument/2006/relationships" ref="K47" display="https://wp.granollers.cat/paes/" r:id="rId37"/>
    <hyperlink xmlns:r="http://schemas.openxmlformats.org/officeDocument/2006/relationships" ref="K48" display="https://analisi.transparenciacatalunya.cat/Energia/Consum-d-energia-el-ctrica-per-municipis-i-sectors/8idm-becu" r:id="rId38"/>
    <hyperlink xmlns:r="http://schemas.openxmlformats.org/officeDocument/2006/relationships" ref="K49" display="https://wp.granollers.cat/paes/" r:id="rId39"/>
    <hyperlink xmlns:r="http://schemas.openxmlformats.org/officeDocument/2006/relationships" ref="K51" display="https://icaen.gencat.cat/ca/energia/estadistiques/resultats/anuals/Consums-energetics-per-municipis/" r:id="rId40"/>
    <hyperlink xmlns:r="http://schemas.openxmlformats.org/officeDocument/2006/relationships" ref="K52" display="https://icaen.gencat.cat/ca/energia/estadistiques/resultats/anuals/Consums-energetics-per-municipis/" r:id="rId41"/>
    <hyperlink xmlns:r="http://schemas.openxmlformats.org/officeDocument/2006/relationships" ref="K61" display="https://www.idescat.cat/pub/?id=pibc&amp;n=13830&amp;geo=mun:080961" r:id="rId4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2026-05-22T15:40:58Z</dcterms:created>
  <dcterms:modified xmlns:dcterms="http://purl.org/dc/terms/" xmlns:xsi="http://www.w3.org/2001/XMLSchema-instance" xsi:type="dcterms:W3CDTF">2026-05-28T13:52:03Z</dcterms:modified>
  <cp:lastModifiedBy>Gebetsroither Ernst</cp:lastModifiedBy>
  <cp:revision>0</cp:revision>
</cp:coreProperties>
</file>